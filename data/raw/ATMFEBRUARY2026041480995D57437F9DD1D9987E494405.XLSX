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23-03-26\Upl\ATM &amp; Card Statistics data - February 2026\"/>
    </mc:Choice>
  </mc:AlternateContent>
  <xr:revisionPtr revIDLastSave="0" documentId="13_ncr:1_{F5D2DD6E-21A5-4096-9A3E-5FFFFC2444D0}" xr6:coauthVersionLast="47" xr6:coauthVersionMax="47" xr10:uidLastSave="{00000000-0000-0000-0000-000000000000}"/>
  <bookViews>
    <workbookView xWindow="-120" yWindow="-120" windowWidth="29040" windowHeight="15720" xr2:uid="{0660F061-067F-493F-8231-10BE5540F588}"/>
  </bookViews>
  <sheets>
    <sheet name="For Website February 2026" sheetId="1" r:id="rId1"/>
  </sheets>
  <definedNames>
    <definedName name="_xlnm._FilterDatabase" localSheetId="0" hidden="1">'For Website February 2026'!$D$8:$AC$79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9" i="1" l="1"/>
  <c r="E79" i="1"/>
  <c r="D79" i="1"/>
  <c r="Z79" i="1"/>
  <c r="J79" i="1"/>
  <c r="AC79" i="1"/>
  <c r="AB79" i="1"/>
  <c r="AA79" i="1"/>
  <c r="Y79" i="1"/>
  <c r="X79" i="1"/>
  <c r="W79" i="1"/>
  <c r="V79" i="1"/>
  <c r="U79" i="1"/>
  <c r="T79" i="1"/>
  <c r="S79" i="1"/>
  <c r="R79" i="1"/>
  <c r="Q79" i="1"/>
  <c r="P79" i="1"/>
  <c r="O79" i="1"/>
  <c r="M79" i="1"/>
  <c r="L79" i="1"/>
  <c r="K79" i="1"/>
  <c r="I79" i="1"/>
  <c r="H79" i="1"/>
  <c r="G79" i="1"/>
  <c r="F79" i="1"/>
</calcChain>
</file>

<file path=xl/sharedStrings.xml><?xml version="1.0" encoding="utf-8"?>
<sst xmlns="http://schemas.openxmlformats.org/spreadsheetml/2006/main" count="147" uniqueCount="125">
  <si>
    <t>ATM, Acceptance Infrastructure and Card Statistics for the Month of February 2026</t>
  </si>
  <si>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</si>
  <si>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</si>
  <si>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</si>
  <si>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</si>
  <si>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</si>
  <si>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</si>
  <si>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</si>
  <si>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</si>
  <si>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</si>
  <si>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</si>
  <si>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</si>
  <si>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</si>
  <si>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</si>
  <si>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</si>
  <si>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</si>
  <si>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</si>
  <si>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</si>
  <si>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</si>
  <si>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</si>
  <si>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</si>
  <si>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</si>
  <si>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</si>
  <si>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</si>
  <si>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</si>
  <si>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</si>
  <si>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</si>
  <si>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</si>
  <si>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</si>
  <si>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</si>
  <si>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</si>
  <si>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</si>
  <si>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</si>
  <si>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</si>
  <si>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</si>
  <si>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</si>
  <si>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</si>
  <si>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</si>
  <si>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</si>
  <si>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</si>
  <si>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</si>
  <si>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</si>
  <si>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</si>
  <si>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</si>
  <si>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</si>
  <si>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</si>
  <si>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DHANALAXMI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</si>
  <si>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</si>
  <si>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</si>
  <si>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</si>
  <si>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</si>
  <si>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</si>
  <si>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</si>
  <si>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</si>
  <si>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</si>
  <si>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</si>
  <si>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</si>
  <si>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</si>
  <si>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</si>
  <si>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</si>
  <si>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</si>
  <si>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</si>
  <si>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</si>
  <si>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</si>
  <si>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</si>
  <si>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</si>
  <si>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</si>
  <si>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</si>
  <si>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</si>
  <si>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</si>
  <si>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</si>
  <si>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</si>
  <si>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</si>
  <si>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</si>
  <si>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</si>
  <si>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</si>
  <si>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</si>
  <si>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</si>
  <si>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</si>
  <si>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</si>
  <si>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</si>
  <si>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</si>
  <si>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</si>
  <si>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</si>
  <si>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</si>
  <si>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</si>
  <si>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</si>
  <si>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</si>
  <si>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</si>
  <si>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</si>
  <si>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</si>
  <si>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SLICE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</si>
  <si>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</si>
  <si>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</si>
  <si>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</si>
  <si>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</si>
  <si>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</si>
  <si>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</si>
  <si>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 The data is provisional</t>
  </si>
  <si>
    <t>1Total number of ATMs &amp; CRMs deployed on-site by the bank</t>
  </si>
  <si>
    <t>2 Total number of ATMs &amp; CRMs deployed off-site by the bank</t>
  </si>
  <si>
    <t>3 Total number of PoS terminals deployed by the bank</t>
  </si>
  <si>
    <t>4 Total number of Micro ATMs deployed by the bank</t>
  </si>
  <si>
    <t>5 Total number of Bharat QR Codes deployed by the bank</t>
  </si>
  <si>
    <t>6 Total number of UPI QR Codes deployed by the bank</t>
  </si>
  <si>
    <t>7 Total number of credit cards issued outstanding (after adjusting the number of cards withdrawan/cancelled)</t>
  </si>
  <si>
    <t>8 Total number of debit cards issued outstanding (after adjusting the number of cards withdrawan/cancelled)</t>
  </si>
  <si>
    <t>9 Total number of financial transactions done by the credit card issued by the bank at PoS terminals</t>
  </si>
  <si>
    <t>10 Total value of financial transactions done by the credit card issued by the bank at PoS terminals</t>
  </si>
  <si>
    <t>11 Total number of financial transactions done by the credit card issued by the bank at online and e-commerce sites</t>
  </si>
  <si>
    <t>12 Total value of financial transactions done by the credit card issued by the bank at online and e-commerce sites</t>
  </si>
  <si>
    <t>13 Total number of other financial transactions done by the credit card issued by the bank (example: Mail-Order and Tele-Order transactions)</t>
  </si>
  <si>
    <t>14 Total value of other financial transactions done by the credit card issued by the bank (example: Mail-Order and Tele-Order transactions)</t>
  </si>
  <si>
    <t>15 Total number of cash withdrawal transactions done by the credit card issued by the bank at ATMs</t>
  </si>
  <si>
    <t>16 Total value of cash withdrawal transactions done by the credit card issued by the bank at ATMs</t>
  </si>
  <si>
    <t>17 Total number of financial transactions done by the debit card issued by the bank at PoS terminals</t>
  </si>
  <si>
    <t>18 Total value of financial transactions done by the debit card issued by the bank at PoS terminals</t>
  </si>
  <si>
    <t>19 Total number of financial transactions done by the debit card issued by the bank at online and e-commerce sites</t>
  </si>
  <si>
    <t>20 Total value of financial transactions done by the debit card issued by the bank at online and e-commerce sites</t>
  </si>
  <si>
    <t>21 Total number of other financial transactions done by the debit card issued by the bank (example: debit card transactions done at ATMs viz card to card transactions, Bill Payments, Credit Card Payments, Mobile Recharge etc)</t>
  </si>
  <si>
    <t>22 Total value of other financial transactions done by the debit card issued by the bank (example: debit card transactions done at ATMs viz card to card transactions, Bill Payments, Credit Card Payments, Mobile Recharge etc)</t>
  </si>
  <si>
    <t>23 Total number of cash withdrawal transactions done by the debit card issued by the bank at ATMs</t>
  </si>
  <si>
    <t>24 Total value of cash withdrawal transactions done by the debit card issued by the bank at ATMs</t>
  </si>
  <si>
    <t>25 Total number of cash withdrawal transactions done by the debit card issued by the bank at PoS terminals</t>
  </si>
  <si>
    <t>26 Total value of cash withdrawal transactions done by the debit card issued by the bank at PoS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</si>
</sst>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4">
    <xf numFmtId="0" fontId="0" fillId="0" borderId="0" xfId="0"/>
    <xf numFmtId="0" fontId="3" fillId="2" borderId="1" xfId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1" fontId="5" fillId="2" borderId="1" xfId="0" applyNumberFormat="1" applyFont="1" applyFill="1" applyBorder="1"/>
    <xf numFmtId="0" fontId="5" fillId="2" borderId="0" xfId="0" applyFont="1" applyFill="1" applyAlignment="1">
      <alignment horizontal="left"/>
    </xf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right"/>
    </xf>
    <xf numFmtId="0" fontId="5" fillId="2" borderId="0" xfId="0" applyFont="1" applyFill="1"/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right" vertical="top"/>
    </xf>
    <xf numFmtId="1" fontId="5" fillId="2" borderId="1" xfId="0" applyNumberFormat="1" applyFont="1" applyFill="1" applyBorder="1" applyAlignment="1">
      <alignment vertical="top"/>
    </xf>
    <xf numFmtId="0" fontId="4" fillId="2" borderId="1" xfId="0" applyFont="1" applyFill="1" applyBorder="1" applyAlignment="1" applyProtection="1">
      <alignment horizontal="center" vertical="center"/>
      <protection locked="0"/>
    </xf>
    <xf numFmtId="1" fontId="4" fillId="2" borderId="1" xfId="0" applyNumberFormat="1" applyFont="1" applyFill="1" applyBorder="1" applyAlignment="1" applyProtection="1">
      <alignment horizontal="right" vertical="center"/>
    </xf>
    <xf numFmtId="0" fontId="6" fillId="2" borderId="1" xfId="1" applyFont="1" applyFill="1" applyBorder="1" applyAlignment="1" applyProtection="1">
      <alignment vertical="center" wrapText="1"/>
      <protection locked="0"/>
    </xf>
    <xf numFmtId="164" fontId="6" fillId="2" borderId="1" xfId="1" applyNumberFormat="1" applyFont="1" applyFill="1" applyBorder="1" applyAlignment="1" applyProtection="1">
      <alignment horizontal="right" vertical="center" wrapText="1"/>
      <protection locked="0"/>
    </xf>
    <xf numFmtId="0" fontId="6" fillId="2" borderId="0" xfId="1" applyFont="1" applyFill="1" applyBorder="1" applyAlignment="1" applyProtection="1">
      <alignment horizontal="left" vertical="center" wrapText="1"/>
      <protection locked="0"/>
    </xf>
    <xf numFmtId="0" fontId="2" fillId="2" borderId="1" xfId="1" applyFont="1" applyFill="1" applyBorder="1" applyAlignment="1" applyProtection="1">
      <alignment horizontal="left" vertical="center" wrapText="1"/>
      <protection locked="0"/>
    </xf>
    <xf numFmtId="0" fontId="7" fillId="2" borderId="0" xfId="1" applyFont="1" applyFill="1" applyBorder="1" applyAlignment="1">
      <alignment horizontal="left" vertical="center" wrapText="1"/>
    </xf>
    <xf numFmtId="0" fontId="2" fillId="2" borderId="0" xfId="1" applyFont="1" applyFill="1" applyBorder="1" applyAlignment="1" applyProtection="1">
      <alignment horizontal="left" vertical="center" wrapText="1"/>
      <protection locked="0"/>
    </xf>
    <xf numFmtId="0" fontId="7" fillId="2" borderId="0" xfId="1" applyFont="1" applyFill="1" applyBorder="1" applyAlignment="1">
      <alignment vertical="center" wrapText="1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left" vertical="center"/>
    </xf>
    <xf numFmtId="0" fontId="8" fillId="2" borderId="1" xfId="2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Protection="1">
      <protection locked="0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top"/>
    </xf>
    <xf numFmtId="0" fontId="5" fillId="2" borderId="1" xfId="0" applyFont="1" applyFill="1" applyBorder="1" applyAlignment="1" applyProtection="1">
      <alignment vertical="center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/>
    <xf numFmtId="0" fontId="5" fillId="2" borderId="0" xfId="0" applyFont="1" applyFill="1" applyAlignment="1" applyProtection="1">
      <alignment horizontal="left"/>
      <protection locked="0"/>
    </xf>
    <xf numFmtId="0" fontId="2" fillId="2" borderId="0" xfId="0" applyFont="1" applyFill="1" applyBorder="1" applyAlignment="1" applyProtection="1">
      <alignment horizontal="left"/>
      <protection locked="0"/>
    </xf>
    <xf numFmtId="0" fontId="7" fillId="2" borderId="0" xfId="0" applyFont="1" applyFill="1"/>
  </cellXfs>
  <cellStyles count="3">
    <cellStyle name="Normal" xfId="0" builtinId="0"/>
    <cellStyle name="Normal 2 10" xfId="2" xr:uid="{64CD89E8-CE36-4FBD-8BFA-2B343AEE8522}"/>
    <cellStyle name="Normal 2 2" xfId="1" xr:uid="{B07B51FD-5CFA-4CE6-A84F-55F1ACCD44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5CF04-21D7-44EF-8134-5EB081E3A7A2}">
  <dimension ref="A2:AE108"/>
  <sheetViews>
    <sheetView tabSelected="1" zoomScaleNormal="100" workbookViewId="0">
      <selection activeCell="A2" sqref="A2"/>
    </sheetView>
  </sheetViews>
  <sheetFormatPr defaultColWidth="8.85546875" defaultRowHeight="12.75" x14ac:dyDescent="0.2"/>
  <cols>
    <col min="1" max="1" width="3" style="14" customWidth="1"/>
    <col min="2" max="2" width="8.7109375" style="17" customWidth="1"/>
    <col min="3" max="3" width="44" style="17" bestFit="1" customWidth="1"/>
    <col min="4" max="4" width="9.42578125" style="31" customWidth="1"/>
    <col min="5" max="5" width="9.28515625" style="31" customWidth="1"/>
    <col min="6" max="6" width="9.7109375" style="17" customWidth="1"/>
    <col min="7" max="7" width="9.28515625" style="17" customWidth="1"/>
    <col min="8" max="8" width="10.42578125" style="17" customWidth="1"/>
    <col min="9" max="9" width="11.5703125" style="17" customWidth="1"/>
    <col min="10" max="10" width="11" style="17" customWidth="1"/>
    <col min="11" max="11" width="10.7109375" style="17" customWidth="1"/>
    <col min="12" max="12" width="10.28515625" style="17" bestFit="1" customWidth="1"/>
    <col min="13" max="13" width="12" style="17" bestFit="1" customWidth="1"/>
    <col min="14" max="14" width="10" style="17" bestFit="1" customWidth="1"/>
    <col min="15" max="15" width="12" style="17" bestFit="1" customWidth="1"/>
    <col min="16" max="16" width="10.7109375" style="17" customWidth="1"/>
    <col min="17" max="17" width="10" style="17" bestFit="1" customWidth="1"/>
    <col min="18" max="18" width="10" style="17" customWidth="1"/>
    <col min="19" max="19" width="12" style="17" bestFit="1" customWidth="1"/>
    <col min="20" max="20" width="10" style="17" bestFit="1" customWidth="1"/>
    <col min="21" max="23" width="12" style="17" bestFit="1" customWidth="1"/>
    <col min="24" max="24" width="10.85546875" style="17" customWidth="1"/>
    <col min="25" max="25" width="12" style="17" bestFit="1" customWidth="1"/>
    <col min="26" max="26" width="10" style="17" bestFit="1" customWidth="1"/>
    <col min="27" max="27" width="11" style="17" bestFit="1" customWidth="1"/>
    <col min="28" max="28" width="10.140625" style="17" customWidth="1"/>
    <col min="29" max="29" width="12" style="17" bestFit="1" customWidth="1"/>
    <col min="30" max="30" width="12.28515625" style="17" customWidth="1"/>
    <col min="31" max="16384" width="8.85546875" style="17"/>
  </cols>
  <sheetData>
    <row r="2" spans="1:29" x14ac:dyDescent="0.2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">
      <c r="B3" s="1" t="s">
        <v>1</v>
      </c>
      <c r="C3" s="1" t="s">
        <v>2</v>
      </c>
      <c r="D3" s="2" t="s">
        <v>3</v>
      </c>
      <c r="E3" s="2"/>
      <c r="F3" s="2"/>
      <c r="G3" s="2"/>
      <c r="H3" s="2"/>
      <c r="I3" s="2"/>
      <c r="J3" s="2"/>
      <c r="K3" s="2"/>
      <c r="L3" s="1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">
      <c r="B4" s="1"/>
      <c r="C4" s="1"/>
      <c r="D4" s="3" t="s">
        <v>5</v>
      </c>
      <c r="E4" s="3"/>
      <c r="F4" s="3"/>
      <c r="G4" s="3"/>
      <c r="H4" s="3"/>
      <c r="I4" s="3"/>
      <c r="J4" s="3"/>
      <c r="K4" s="3"/>
      <c r="L4" s="1" t="s">
        <v>6</v>
      </c>
      <c r="M4" s="1"/>
      <c r="N4" s="1"/>
      <c r="O4" s="1"/>
      <c r="P4" s="1"/>
      <c r="Q4" s="1"/>
      <c r="R4" s="1"/>
      <c r="S4" s="1"/>
      <c r="T4" s="1" t="s">
        <v>7</v>
      </c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">
      <c r="B5" s="1"/>
      <c r="C5" s="1"/>
      <c r="D5" s="3" t="s">
        <v>8</v>
      </c>
      <c r="E5" s="3"/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1" t="s">
        <v>15</v>
      </c>
      <c r="M5" s="1"/>
      <c r="N5" s="1"/>
      <c r="O5" s="1"/>
      <c r="P5" s="1"/>
      <c r="Q5" s="1"/>
      <c r="R5" s="1" t="s">
        <v>16</v>
      </c>
      <c r="S5" s="1"/>
      <c r="T5" s="1" t="s">
        <v>15</v>
      </c>
      <c r="U5" s="1"/>
      <c r="V5" s="1"/>
      <c r="W5" s="1"/>
      <c r="X5" s="1"/>
      <c r="Y5" s="1"/>
      <c r="Z5" s="1" t="s">
        <v>16</v>
      </c>
      <c r="AA5" s="1"/>
      <c r="AB5" s="1"/>
      <c r="AC5" s="1"/>
    </row>
    <row r="6" spans="1:29" x14ac:dyDescent="0.2">
      <c r="B6" s="1"/>
      <c r="C6" s="1"/>
      <c r="D6" s="3"/>
      <c r="E6" s="3"/>
      <c r="F6" s="3"/>
      <c r="G6" s="3"/>
      <c r="H6" s="3"/>
      <c r="I6" s="3"/>
      <c r="J6" s="3"/>
      <c r="K6" s="3"/>
      <c r="L6" s="3" t="s">
        <v>17</v>
      </c>
      <c r="M6" s="3"/>
      <c r="N6" s="3" t="s">
        <v>18</v>
      </c>
      <c r="O6" s="3"/>
      <c r="P6" s="1" t="s">
        <v>19</v>
      </c>
      <c r="Q6" s="1"/>
      <c r="R6" s="1" t="s">
        <v>20</v>
      </c>
      <c r="S6" s="1"/>
      <c r="T6" s="3" t="s">
        <v>17</v>
      </c>
      <c r="U6" s="3"/>
      <c r="V6" s="3" t="s">
        <v>18</v>
      </c>
      <c r="W6" s="3"/>
      <c r="X6" s="1" t="s">
        <v>19</v>
      </c>
      <c r="Y6" s="1"/>
      <c r="Z6" s="3" t="s">
        <v>21</v>
      </c>
      <c r="AA6" s="3"/>
      <c r="AB6" s="3" t="s">
        <v>9</v>
      </c>
      <c r="AC6" s="3"/>
    </row>
    <row r="7" spans="1:29" s="34" customFormat="1" ht="38.25" x14ac:dyDescent="0.25">
      <c r="A7" s="32"/>
      <c r="B7" s="1"/>
      <c r="C7" s="1"/>
      <c r="D7" s="4" t="s">
        <v>22</v>
      </c>
      <c r="E7" s="5" t="s">
        <v>23</v>
      </c>
      <c r="F7" s="3"/>
      <c r="G7" s="3"/>
      <c r="H7" s="3"/>
      <c r="I7" s="3"/>
      <c r="J7" s="3"/>
      <c r="K7" s="3"/>
      <c r="L7" s="33" t="s">
        <v>24</v>
      </c>
      <c r="M7" s="33" t="s">
        <v>25</v>
      </c>
      <c r="N7" s="33" t="s">
        <v>24</v>
      </c>
      <c r="O7" s="33" t="s">
        <v>25</v>
      </c>
      <c r="P7" s="33" t="s">
        <v>24</v>
      </c>
      <c r="Q7" s="33" t="s">
        <v>25</v>
      </c>
      <c r="R7" s="33" t="s">
        <v>24</v>
      </c>
      <c r="S7" s="33" t="s">
        <v>25</v>
      </c>
      <c r="T7" s="33" t="s">
        <v>24</v>
      </c>
      <c r="U7" s="33" t="s">
        <v>25</v>
      </c>
      <c r="V7" s="33" t="s">
        <v>24</v>
      </c>
      <c r="W7" s="33" t="s">
        <v>25</v>
      </c>
      <c r="X7" s="33" t="s">
        <v>24</v>
      </c>
      <c r="Y7" s="33" t="s">
        <v>25</v>
      </c>
      <c r="Z7" s="33" t="s">
        <v>24</v>
      </c>
      <c r="AA7" s="33" t="s">
        <v>25</v>
      </c>
      <c r="AB7" s="33" t="s">
        <v>24</v>
      </c>
      <c r="AC7" s="33" t="s">
        <v>25</v>
      </c>
    </row>
    <row r="8" spans="1:29" x14ac:dyDescent="0.2">
      <c r="B8" s="6"/>
      <c r="C8" s="6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</row>
    <row r="9" spans="1:29" x14ac:dyDescent="0.2">
      <c r="B9" s="7" t="s">
        <v>26</v>
      </c>
      <c r="C9" s="7"/>
      <c r="D9" s="8"/>
      <c r="E9" s="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x14ac:dyDescent="0.2">
      <c r="B10" s="7" t="s">
        <v>27</v>
      </c>
      <c r="C10" s="35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x14ac:dyDescent="0.2">
      <c r="B11" s="10">
        <v>1</v>
      </c>
      <c r="C11" s="11" t="s">
        <v>28</v>
      </c>
      <c r="D11" s="12">
        <v>9086</v>
      </c>
      <c r="E11" s="12">
        <v>2497</v>
      </c>
      <c r="F11" s="12">
        <v>57560</v>
      </c>
      <c r="G11" s="12">
        <v>41564</v>
      </c>
      <c r="H11" s="12">
        <v>27700</v>
      </c>
      <c r="I11" s="12">
        <v>3256001</v>
      </c>
      <c r="J11" s="12">
        <v>3105673</v>
      </c>
      <c r="K11" s="12">
        <v>88273917</v>
      </c>
      <c r="L11" s="13">
        <v>8895870</v>
      </c>
      <c r="M11" s="13">
        <v>15668954.151350001</v>
      </c>
      <c r="N11" s="13">
        <v>3591826</v>
      </c>
      <c r="O11" s="13">
        <v>15376640.556939999</v>
      </c>
      <c r="P11" s="13">
        <v>0</v>
      </c>
      <c r="Q11" s="13">
        <v>0</v>
      </c>
      <c r="R11" s="13">
        <v>10764</v>
      </c>
      <c r="S11" s="13">
        <v>58454.8</v>
      </c>
      <c r="T11" s="13">
        <v>2649164</v>
      </c>
      <c r="U11" s="13">
        <v>6805902.1057000021</v>
      </c>
      <c r="V11" s="13">
        <v>349744</v>
      </c>
      <c r="W11" s="13">
        <v>2081986.2831400009</v>
      </c>
      <c r="X11" s="13">
        <v>29</v>
      </c>
      <c r="Y11" s="13">
        <v>44.991</v>
      </c>
      <c r="Z11" s="13">
        <v>20724547</v>
      </c>
      <c r="AA11" s="13">
        <v>110970795.698</v>
      </c>
      <c r="AB11" s="13">
        <v>0</v>
      </c>
      <c r="AC11" s="13">
        <v>0</v>
      </c>
    </row>
    <row r="12" spans="1:29" x14ac:dyDescent="0.2">
      <c r="B12" s="10">
        <v>2</v>
      </c>
      <c r="C12" s="11" t="s">
        <v>29</v>
      </c>
      <c r="D12" s="12">
        <v>5212</v>
      </c>
      <c r="E12" s="12">
        <v>2483</v>
      </c>
      <c r="F12" s="12">
        <v>19275</v>
      </c>
      <c r="G12" s="12">
        <v>25283</v>
      </c>
      <c r="H12" s="12">
        <v>0</v>
      </c>
      <c r="I12" s="12">
        <v>1451888</v>
      </c>
      <c r="J12" s="12">
        <v>112419</v>
      </c>
      <c r="K12" s="12">
        <v>37751588</v>
      </c>
      <c r="L12" s="13">
        <v>101561</v>
      </c>
      <c r="M12" s="13">
        <v>512130.50182</v>
      </c>
      <c r="N12" s="13">
        <v>374533</v>
      </c>
      <c r="O12" s="13">
        <v>717955.36046</v>
      </c>
      <c r="P12" s="13">
        <v>0</v>
      </c>
      <c r="Q12" s="13">
        <v>0</v>
      </c>
      <c r="R12" s="13">
        <v>6992</v>
      </c>
      <c r="S12" s="13">
        <v>41462.181840000005</v>
      </c>
      <c r="T12" s="13">
        <v>1653045</v>
      </c>
      <c r="U12" s="13">
        <v>3974274.89</v>
      </c>
      <c r="V12" s="13">
        <v>259573</v>
      </c>
      <c r="W12" s="13">
        <v>798597.96909999999</v>
      </c>
      <c r="X12" s="13">
        <v>0</v>
      </c>
      <c r="Y12" s="13">
        <v>0</v>
      </c>
      <c r="Z12" s="13">
        <v>13105903</v>
      </c>
      <c r="AA12" s="13">
        <v>59794790.140000001</v>
      </c>
      <c r="AB12" s="13">
        <v>5</v>
      </c>
      <c r="AC12" s="13">
        <v>2.4900000000000002</v>
      </c>
    </row>
    <row r="13" spans="1:29" ht="16.5" customHeight="1" x14ac:dyDescent="0.2">
      <c r="B13" s="10">
        <v>3</v>
      </c>
      <c r="C13" s="15" t="s">
        <v>30</v>
      </c>
      <c r="D13" s="16">
        <v>2414</v>
      </c>
      <c r="E13" s="16">
        <v>250</v>
      </c>
      <c r="F13" s="16">
        <v>442</v>
      </c>
      <c r="G13" s="16">
        <v>7453</v>
      </c>
      <c r="H13" s="16">
        <v>355014</v>
      </c>
      <c r="I13" s="16">
        <v>963523</v>
      </c>
      <c r="J13" s="16">
        <v>0</v>
      </c>
      <c r="K13" s="16">
        <v>12912169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804300</v>
      </c>
      <c r="U13" s="13">
        <v>1932079.63423</v>
      </c>
      <c r="V13" s="13">
        <v>93484</v>
      </c>
      <c r="W13" s="13">
        <v>332154.45152999996</v>
      </c>
      <c r="X13" s="13">
        <v>5572</v>
      </c>
      <c r="Y13" s="13">
        <v>58022.318350000001</v>
      </c>
      <c r="Z13" s="13">
        <v>5281570</v>
      </c>
      <c r="AA13" s="13">
        <v>28061093.705150001</v>
      </c>
      <c r="AB13" s="13">
        <v>0</v>
      </c>
      <c r="AC13" s="13">
        <v>0</v>
      </c>
    </row>
    <row r="14" spans="1:29" x14ac:dyDescent="0.2">
      <c r="B14" s="10">
        <v>4</v>
      </c>
      <c r="C14" s="11" t="s">
        <v>31</v>
      </c>
      <c r="D14" s="12">
        <v>7743</v>
      </c>
      <c r="E14" s="12">
        <v>3257</v>
      </c>
      <c r="F14" s="12">
        <v>92274</v>
      </c>
      <c r="G14" s="12">
        <v>12515</v>
      </c>
      <c r="H14" s="12">
        <v>0</v>
      </c>
      <c r="I14" s="12">
        <v>4045388</v>
      </c>
      <c r="J14" s="12">
        <v>1146044</v>
      </c>
      <c r="K14" s="12">
        <v>60842928</v>
      </c>
      <c r="L14" s="13">
        <v>988212</v>
      </c>
      <c r="M14" s="13">
        <v>4238816.9315600013</v>
      </c>
      <c r="N14" s="13">
        <v>507841</v>
      </c>
      <c r="O14" s="13">
        <v>2950021.4544099998</v>
      </c>
      <c r="P14" s="13">
        <v>0</v>
      </c>
      <c r="Q14" s="13">
        <v>0</v>
      </c>
      <c r="R14" s="13">
        <v>77014</v>
      </c>
      <c r="S14" s="13">
        <v>459521.6</v>
      </c>
      <c r="T14" s="13">
        <v>4372218</v>
      </c>
      <c r="U14" s="13">
        <v>13785453.27004</v>
      </c>
      <c r="V14" s="13">
        <v>754220</v>
      </c>
      <c r="W14" s="13">
        <v>3520312.3581300001</v>
      </c>
      <c r="X14" s="13">
        <v>4601</v>
      </c>
      <c r="Y14" s="13">
        <v>93976.794999999998</v>
      </c>
      <c r="Z14" s="13">
        <v>26624760</v>
      </c>
      <c r="AA14" s="13">
        <v>140312507.00299999</v>
      </c>
      <c r="AB14" s="13">
        <v>8</v>
      </c>
      <c r="AC14" s="13">
        <v>6.7089999999999996</v>
      </c>
    </row>
    <row r="15" spans="1:29" x14ac:dyDescent="0.2">
      <c r="B15" s="10">
        <v>5</v>
      </c>
      <c r="C15" s="11" t="s">
        <v>32</v>
      </c>
      <c r="D15" s="12">
        <v>2943</v>
      </c>
      <c r="E15" s="12">
        <v>1165</v>
      </c>
      <c r="F15" s="12">
        <v>3582</v>
      </c>
      <c r="G15" s="12">
        <v>2942</v>
      </c>
      <c r="H15" s="12">
        <v>38138</v>
      </c>
      <c r="I15" s="12">
        <v>1571080</v>
      </c>
      <c r="J15" s="12">
        <v>0</v>
      </c>
      <c r="K15" s="12">
        <v>30814116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853661</v>
      </c>
      <c r="U15" s="13">
        <v>2577440.7088099997</v>
      </c>
      <c r="V15" s="13">
        <v>127930</v>
      </c>
      <c r="W15" s="13">
        <v>528909.15500000003</v>
      </c>
      <c r="X15" s="13">
        <v>0</v>
      </c>
      <c r="Y15" s="13">
        <v>0</v>
      </c>
      <c r="Z15" s="13">
        <v>6841045</v>
      </c>
      <c r="AA15" s="13">
        <v>34511626.935999997</v>
      </c>
      <c r="AB15" s="13">
        <v>17</v>
      </c>
      <c r="AC15" s="13">
        <v>188.143</v>
      </c>
    </row>
    <row r="16" spans="1:29" x14ac:dyDescent="0.2">
      <c r="B16" s="10">
        <v>6</v>
      </c>
      <c r="C16" s="11" t="s">
        <v>33</v>
      </c>
      <c r="D16" s="12">
        <v>5003</v>
      </c>
      <c r="E16" s="12">
        <v>647</v>
      </c>
      <c r="F16" s="12">
        <v>26677</v>
      </c>
      <c r="G16" s="12">
        <v>16733</v>
      </c>
      <c r="H16" s="12">
        <v>0</v>
      </c>
      <c r="I16" s="12">
        <v>2712663</v>
      </c>
      <c r="J16" s="12">
        <v>267761</v>
      </c>
      <c r="K16" s="12">
        <v>35989161</v>
      </c>
      <c r="L16" s="13">
        <v>151551</v>
      </c>
      <c r="M16" s="13">
        <v>741930.20740999992</v>
      </c>
      <c r="N16" s="13">
        <v>126034</v>
      </c>
      <c r="O16" s="13">
        <v>851083.90887000004</v>
      </c>
      <c r="P16" s="13">
        <v>0</v>
      </c>
      <c r="Q16" s="13">
        <v>0</v>
      </c>
      <c r="R16" s="13">
        <v>3511</v>
      </c>
      <c r="S16" s="13">
        <v>30902.045999999998</v>
      </c>
      <c r="T16" s="13">
        <v>2160622</v>
      </c>
      <c r="U16" s="13">
        <v>5808806.3799199993</v>
      </c>
      <c r="V16" s="13">
        <v>301038</v>
      </c>
      <c r="W16" s="13">
        <v>836351.91</v>
      </c>
      <c r="X16" s="13">
        <v>223</v>
      </c>
      <c r="Y16" s="13">
        <v>667.18899999999996</v>
      </c>
      <c r="Z16" s="13">
        <v>16584246</v>
      </c>
      <c r="AA16" s="13">
        <v>88699958.491669998</v>
      </c>
      <c r="AB16" s="13">
        <v>4</v>
      </c>
      <c r="AC16" s="13">
        <v>2.7</v>
      </c>
    </row>
    <row r="17" spans="2:29" x14ac:dyDescent="0.2">
      <c r="B17" s="10">
        <v>7</v>
      </c>
      <c r="C17" s="11" t="s">
        <v>34</v>
      </c>
      <c r="D17" s="12">
        <v>2904</v>
      </c>
      <c r="E17" s="12">
        <v>733</v>
      </c>
      <c r="F17" s="12">
        <v>20743</v>
      </c>
      <c r="G17" s="12">
        <v>11961</v>
      </c>
      <c r="H17" s="12">
        <v>0</v>
      </c>
      <c r="I17" s="12">
        <v>569589</v>
      </c>
      <c r="J17" s="12">
        <v>129943</v>
      </c>
      <c r="K17" s="12">
        <v>21635315</v>
      </c>
      <c r="L17" s="13">
        <v>402150</v>
      </c>
      <c r="M17" s="13">
        <v>762888.3475700001</v>
      </c>
      <c r="N17" s="13">
        <v>42201</v>
      </c>
      <c r="O17" s="13">
        <v>198343.28993</v>
      </c>
      <c r="P17" s="13">
        <v>0</v>
      </c>
      <c r="Q17" s="13">
        <v>0</v>
      </c>
      <c r="R17" s="13">
        <v>5690</v>
      </c>
      <c r="S17" s="13">
        <v>30209.7</v>
      </c>
      <c r="T17" s="13">
        <v>1745187</v>
      </c>
      <c r="U17" s="13">
        <v>4401531.0748300003</v>
      </c>
      <c r="V17" s="13">
        <v>175694</v>
      </c>
      <c r="W17" s="13">
        <v>527708.33469000005</v>
      </c>
      <c r="X17" s="13">
        <v>0</v>
      </c>
      <c r="Y17" s="13">
        <v>0</v>
      </c>
      <c r="Z17" s="13">
        <v>10815321</v>
      </c>
      <c r="AA17" s="13">
        <v>52512426.031000003</v>
      </c>
      <c r="AB17" s="13">
        <v>0</v>
      </c>
      <c r="AC17" s="13">
        <v>0</v>
      </c>
    </row>
    <row r="18" spans="2:29" x14ac:dyDescent="0.2">
      <c r="B18" s="10">
        <v>8</v>
      </c>
      <c r="C18" s="11" t="s">
        <v>35</v>
      </c>
      <c r="D18" s="12">
        <v>1110</v>
      </c>
      <c r="E18" s="12">
        <v>38</v>
      </c>
      <c r="F18" s="12">
        <v>1271</v>
      </c>
      <c r="G18" s="12">
        <v>2088</v>
      </c>
      <c r="H18" s="12">
        <v>1411</v>
      </c>
      <c r="I18" s="12">
        <v>223464</v>
      </c>
      <c r="J18" s="12">
        <v>0</v>
      </c>
      <c r="K18" s="12">
        <v>3755148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36267</v>
      </c>
      <c r="U18" s="13">
        <v>127769.761</v>
      </c>
      <c r="V18" s="13">
        <v>170490</v>
      </c>
      <c r="W18" s="13">
        <v>463707.70799999998</v>
      </c>
      <c r="X18" s="13">
        <v>0</v>
      </c>
      <c r="Y18" s="13">
        <v>0</v>
      </c>
      <c r="Z18" s="13">
        <v>1181784</v>
      </c>
      <c r="AA18" s="13">
        <v>6268501.7999999998</v>
      </c>
      <c r="AB18" s="13">
        <v>0</v>
      </c>
      <c r="AC18" s="13">
        <v>0</v>
      </c>
    </row>
    <row r="19" spans="2:29" x14ac:dyDescent="0.2">
      <c r="B19" s="10">
        <v>9</v>
      </c>
      <c r="C19" s="11" t="s">
        <v>36</v>
      </c>
      <c r="D19" s="12">
        <v>7302</v>
      </c>
      <c r="E19" s="12">
        <v>3778</v>
      </c>
      <c r="F19" s="12">
        <v>26498</v>
      </c>
      <c r="G19" s="12">
        <v>0</v>
      </c>
      <c r="H19" s="12">
        <v>231866</v>
      </c>
      <c r="I19" s="12">
        <v>1046030</v>
      </c>
      <c r="J19" s="12">
        <v>788598</v>
      </c>
      <c r="K19" s="12">
        <v>40736297</v>
      </c>
      <c r="L19" s="13">
        <v>341454</v>
      </c>
      <c r="M19" s="13">
        <v>1631982.2447200001</v>
      </c>
      <c r="N19" s="13">
        <v>321517</v>
      </c>
      <c r="O19" s="13">
        <v>1626480.6883</v>
      </c>
      <c r="P19" s="13">
        <v>1</v>
      </c>
      <c r="Q19" s="13">
        <v>232.74100000000001</v>
      </c>
      <c r="R19" s="13">
        <v>5316</v>
      </c>
      <c r="S19" s="13">
        <v>18245.627630000003</v>
      </c>
      <c r="T19" s="13">
        <v>2948775</v>
      </c>
      <c r="U19" s="13">
        <v>8304669.1719700005</v>
      </c>
      <c r="V19" s="13">
        <v>568678</v>
      </c>
      <c r="W19" s="13">
        <v>1605373.0591500001</v>
      </c>
      <c r="X19" s="13">
        <v>0</v>
      </c>
      <c r="Y19" s="13">
        <v>0</v>
      </c>
      <c r="Z19" s="13">
        <v>20426600</v>
      </c>
      <c r="AA19" s="13">
        <v>110674588.59999999</v>
      </c>
      <c r="AB19" s="13">
        <v>0</v>
      </c>
      <c r="AC19" s="13">
        <v>0</v>
      </c>
    </row>
    <row r="20" spans="2:29" x14ac:dyDescent="0.2">
      <c r="B20" s="10">
        <v>10</v>
      </c>
      <c r="C20" s="11" t="s">
        <v>37</v>
      </c>
      <c r="D20" s="12">
        <v>28906</v>
      </c>
      <c r="E20" s="12">
        <v>34619</v>
      </c>
      <c r="F20" s="12">
        <v>1765255</v>
      </c>
      <c r="G20" s="12">
        <v>54309</v>
      </c>
      <c r="H20" s="12">
        <v>1047228</v>
      </c>
      <c r="I20" s="12">
        <v>5926226</v>
      </c>
      <c r="J20" s="12">
        <v>21971138</v>
      </c>
      <c r="K20" s="12">
        <v>251346162</v>
      </c>
      <c r="L20" s="13">
        <v>22552100</v>
      </c>
      <c r="M20" s="13">
        <v>127725571.479</v>
      </c>
      <c r="N20" s="13">
        <v>65690877</v>
      </c>
      <c r="O20" s="13">
        <v>213350610.40200001</v>
      </c>
      <c r="P20" s="13">
        <v>0</v>
      </c>
      <c r="Q20" s="13">
        <v>0</v>
      </c>
      <c r="R20" s="13">
        <v>107989</v>
      </c>
      <c r="S20" s="13">
        <v>486906.49</v>
      </c>
      <c r="T20" s="13">
        <v>23007472</v>
      </c>
      <c r="U20" s="13">
        <v>62508583.574440002</v>
      </c>
      <c r="V20" s="13">
        <v>5121168</v>
      </c>
      <c r="W20" s="13">
        <v>17581793.959339999</v>
      </c>
      <c r="X20" s="13">
        <v>519</v>
      </c>
      <c r="Y20" s="13">
        <v>7874.6616599999998</v>
      </c>
      <c r="Z20" s="13">
        <v>137539481</v>
      </c>
      <c r="AA20" s="13">
        <v>797282330.00300002</v>
      </c>
      <c r="AB20" s="13">
        <v>8036</v>
      </c>
      <c r="AC20" s="13">
        <v>6506.2965000000004</v>
      </c>
    </row>
    <row r="21" spans="2:29" x14ac:dyDescent="0.2">
      <c r="B21" s="10">
        <v>11</v>
      </c>
      <c r="C21" s="11" t="s">
        <v>38</v>
      </c>
      <c r="D21" s="12">
        <v>2396</v>
      </c>
      <c r="E21" s="12">
        <v>217</v>
      </c>
      <c r="F21" s="12">
        <v>10252</v>
      </c>
      <c r="G21" s="12">
        <v>3568</v>
      </c>
      <c r="H21" s="12">
        <v>139</v>
      </c>
      <c r="I21" s="12">
        <v>1479162</v>
      </c>
      <c r="J21" s="12">
        <v>0</v>
      </c>
      <c r="K21" s="12">
        <v>14316549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656455</v>
      </c>
      <c r="U21" s="13">
        <v>1894677.0257999999</v>
      </c>
      <c r="V21" s="13">
        <v>166031</v>
      </c>
      <c r="W21" s="13">
        <v>480746.67027999996</v>
      </c>
      <c r="X21" s="13">
        <v>782</v>
      </c>
      <c r="Y21" s="13">
        <v>14711.13242</v>
      </c>
      <c r="Z21" s="13">
        <v>5765902</v>
      </c>
      <c r="AA21" s="13">
        <v>29909686.77798</v>
      </c>
      <c r="AB21" s="13">
        <v>35</v>
      </c>
      <c r="AC21" s="13">
        <v>26.305900000000001</v>
      </c>
    </row>
    <row r="22" spans="2:29" x14ac:dyDescent="0.2">
      <c r="B22" s="10">
        <v>12</v>
      </c>
      <c r="C22" s="11" t="s">
        <v>39</v>
      </c>
      <c r="D22" s="12">
        <v>7925</v>
      </c>
      <c r="E22" s="12">
        <v>675</v>
      </c>
      <c r="F22" s="12">
        <v>43246</v>
      </c>
      <c r="G22" s="12">
        <v>8156</v>
      </c>
      <c r="H22" s="12">
        <v>410371</v>
      </c>
      <c r="I22" s="12">
        <v>295321</v>
      </c>
      <c r="J22" s="12">
        <v>507679</v>
      </c>
      <c r="K22" s="12">
        <v>56165875</v>
      </c>
      <c r="L22" s="13">
        <v>372703</v>
      </c>
      <c r="M22" s="13">
        <v>1713420.405</v>
      </c>
      <c r="N22" s="13">
        <v>2352653</v>
      </c>
      <c r="O22" s="13">
        <v>4278924.2149999999</v>
      </c>
      <c r="P22" s="13">
        <v>0</v>
      </c>
      <c r="Q22" s="13">
        <v>0</v>
      </c>
      <c r="R22" s="13">
        <v>6486</v>
      </c>
      <c r="S22" s="13">
        <v>30658.164000000001</v>
      </c>
      <c r="T22" s="13">
        <v>3084026</v>
      </c>
      <c r="U22" s="13">
        <v>7711141.7752400003</v>
      </c>
      <c r="V22" s="13">
        <v>667508</v>
      </c>
      <c r="W22" s="13">
        <v>1942531.4626200001</v>
      </c>
      <c r="X22" s="13">
        <v>1712</v>
      </c>
      <c r="Y22" s="13">
        <v>6887.0360000000001</v>
      </c>
      <c r="Z22" s="13">
        <v>38252834</v>
      </c>
      <c r="AA22" s="13">
        <v>116616287.64</v>
      </c>
      <c r="AB22" s="13">
        <v>14</v>
      </c>
      <c r="AC22" s="13">
        <v>5.415</v>
      </c>
    </row>
    <row r="23" spans="2:29" x14ac:dyDescent="0.2">
      <c r="B23" s="7" t="s">
        <v>40</v>
      </c>
      <c r="C23" s="35"/>
      <c r="D23" s="8"/>
      <c r="E23" s="8"/>
      <c r="F23" s="8"/>
      <c r="G23" s="8"/>
      <c r="H23" s="8"/>
      <c r="I23" s="8"/>
      <c r="J23" s="8"/>
      <c r="K23" s="8"/>
      <c r="L23" s="9"/>
      <c r="M23" s="9"/>
      <c r="N23" s="9"/>
      <c r="O23" s="9"/>
      <c r="P23" s="9"/>
      <c r="Q23" s="9"/>
      <c r="R23" s="9"/>
      <c r="S23" s="9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2:29" x14ac:dyDescent="0.2">
      <c r="B24" s="10">
        <v>13</v>
      </c>
      <c r="C24" s="11" t="s">
        <v>41</v>
      </c>
      <c r="D24" s="12">
        <v>6750</v>
      </c>
      <c r="E24" s="12">
        <v>6098</v>
      </c>
      <c r="F24" s="12">
        <v>2609386</v>
      </c>
      <c r="G24" s="12">
        <v>0</v>
      </c>
      <c r="H24" s="12">
        <v>548659</v>
      </c>
      <c r="I24" s="12">
        <v>122027452</v>
      </c>
      <c r="J24" s="12">
        <v>15892955</v>
      </c>
      <c r="K24" s="12">
        <v>43149846</v>
      </c>
      <c r="L24" s="13">
        <v>42874336</v>
      </c>
      <c r="M24" s="13">
        <v>95568329.441510096</v>
      </c>
      <c r="N24" s="13">
        <v>25559491</v>
      </c>
      <c r="O24" s="13">
        <v>101583491.85494</v>
      </c>
      <c r="P24" s="13">
        <v>0</v>
      </c>
      <c r="Q24" s="13">
        <v>0</v>
      </c>
      <c r="R24" s="13">
        <v>62878</v>
      </c>
      <c r="S24" s="13">
        <v>363018.5</v>
      </c>
      <c r="T24" s="13">
        <v>3010259</v>
      </c>
      <c r="U24" s="13">
        <v>12982482.436870001</v>
      </c>
      <c r="V24" s="13">
        <v>1405654</v>
      </c>
      <c r="W24" s="13">
        <v>9563164.8099700008</v>
      </c>
      <c r="X24" s="13">
        <v>9175</v>
      </c>
      <c r="Y24" s="13">
        <v>242110.77900000001</v>
      </c>
      <c r="Z24" s="13">
        <v>14157652</v>
      </c>
      <c r="AA24" s="13">
        <v>101342616.426</v>
      </c>
      <c r="AB24" s="13">
        <v>0</v>
      </c>
      <c r="AC24" s="13">
        <v>0</v>
      </c>
    </row>
    <row r="25" spans="2:29" x14ac:dyDescent="0.2">
      <c r="B25" s="10">
        <v>14</v>
      </c>
      <c r="C25" s="11" t="s">
        <v>42</v>
      </c>
      <c r="D25" s="12">
        <v>430</v>
      </c>
      <c r="E25" s="12">
        <v>5</v>
      </c>
      <c r="F25" s="12">
        <v>72926</v>
      </c>
      <c r="G25" s="12">
        <v>0</v>
      </c>
      <c r="H25" s="12">
        <v>46145</v>
      </c>
      <c r="I25" s="12">
        <v>0</v>
      </c>
      <c r="J25" s="12">
        <v>11688</v>
      </c>
      <c r="K25" s="12">
        <v>6612495</v>
      </c>
      <c r="L25" s="13">
        <v>52870</v>
      </c>
      <c r="M25" s="13">
        <v>59539.569159999999</v>
      </c>
      <c r="N25" s="13">
        <v>2301</v>
      </c>
      <c r="O25" s="13">
        <v>16182.66749</v>
      </c>
      <c r="P25" s="13">
        <v>0</v>
      </c>
      <c r="Q25" s="13">
        <v>0</v>
      </c>
      <c r="R25" s="13">
        <v>307</v>
      </c>
      <c r="S25" s="13">
        <v>1948.4</v>
      </c>
      <c r="T25" s="13">
        <v>151745</v>
      </c>
      <c r="U25" s="13">
        <v>592135.51208000001</v>
      </c>
      <c r="V25" s="13">
        <v>49655</v>
      </c>
      <c r="W25" s="13">
        <v>213795.23895</v>
      </c>
      <c r="X25" s="13">
        <v>0</v>
      </c>
      <c r="Y25" s="13">
        <v>0</v>
      </c>
      <c r="Z25" s="13">
        <v>1795462</v>
      </c>
      <c r="AA25" s="13">
        <v>10898992.127</v>
      </c>
      <c r="AB25" s="13">
        <v>8</v>
      </c>
      <c r="AC25" s="13">
        <v>4.5</v>
      </c>
    </row>
    <row r="26" spans="2:29" x14ac:dyDescent="0.2">
      <c r="B26" s="10">
        <v>15</v>
      </c>
      <c r="C26" s="11" t="s">
        <v>43</v>
      </c>
      <c r="D26" s="12">
        <v>1255</v>
      </c>
      <c r="E26" s="12">
        <v>481</v>
      </c>
      <c r="F26" s="12">
        <v>6641</v>
      </c>
      <c r="G26" s="12">
        <v>30930</v>
      </c>
      <c r="H26" s="12">
        <v>0</v>
      </c>
      <c r="I26" s="12">
        <v>74166</v>
      </c>
      <c r="J26" s="12">
        <v>51503</v>
      </c>
      <c r="K26" s="12">
        <v>3372344</v>
      </c>
      <c r="L26" s="13">
        <v>48652</v>
      </c>
      <c r="M26" s="13">
        <v>261542.32907000007</v>
      </c>
      <c r="N26" s="13">
        <v>24338</v>
      </c>
      <c r="O26" s="13">
        <v>281076.5886899996</v>
      </c>
      <c r="P26" s="13">
        <v>0</v>
      </c>
      <c r="Q26" s="13">
        <v>0</v>
      </c>
      <c r="R26" s="13">
        <v>149</v>
      </c>
      <c r="S26" s="13">
        <v>991.5</v>
      </c>
      <c r="T26" s="13">
        <v>342648</v>
      </c>
      <c r="U26" s="13">
        <v>1133266.53831</v>
      </c>
      <c r="V26" s="13">
        <v>29604</v>
      </c>
      <c r="W26" s="13">
        <v>88520.568930000009</v>
      </c>
      <c r="X26" s="13">
        <v>0</v>
      </c>
      <c r="Y26" s="13">
        <v>0</v>
      </c>
      <c r="Z26" s="13">
        <v>1915488</v>
      </c>
      <c r="AA26" s="13">
        <v>12341320.330229999</v>
      </c>
      <c r="AB26" s="13">
        <v>0</v>
      </c>
      <c r="AC26" s="13">
        <v>0</v>
      </c>
    </row>
    <row r="27" spans="2:29" x14ac:dyDescent="0.2">
      <c r="B27" s="10">
        <v>16</v>
      </c>
      <c r="C27" s="11" t="s">
        <v>44</v>
      </c>
      <c r="D27" s="12">
        <v>789</v>
      </c>
      <c r="E27" s="12">
        <v>37</v>
      </c>
      <c r="F27" s="12">
        <v>0</v>
      </c>
      <c r="G27" s="12">
        <v>0</v>
      </c>
      <c r="H27" s="12">
        <v>20278</v>
      </c>
      <c r="I27" s="12">
        <v>0</v>
      </c>
      <c r="J27" s="12">
        <v>193711</v>
      </c>
      <c r="K27" s="12">
        <v>973684</v>
      </c>
      <c r="L27" s="13">
        <v>169509</v>
      </c>
      <c r="M27" s="13">
        <v>541280.00549999997</v>
      </c>
      <c r="N27" s="13">
        <v>1928529</v>
      </c>
      <c r="O27" s="13">
        <v>1747846.4175700003</v>
      </c>
      <c r="P27" s="13">
        <v>0</v>
      </c>
      <c r="Q27" s="13">
        <v>0</v>
      </c>
      <c r="R27" s="13">
        <v>0</v>
      </c>
      <c r="S27" s="13">
        <v>0</v>
      </c>
      <c r="T27" s="13">
        <v>87782</v>
      </c>
      <c r="U27" s="13">
        <v>248634.66296000002</v>
      </c>
      <c r="V27" s="13">
        <v>6542</v>
      </c>
      <c r="W27" s="13">
        <v>49374.224289999998</v>
      </c>
      <c r="X27" s="13">
        <v>0</v>
      </c>
      <c r="Y27" s="13">
        <v>0</v>
      </c>
      <c r="Z27" s="13">
        <v>338882</v>
      </c>
      <c r="AA27" s="13">
        <v>1966935.5</v>
      </c>
      <c r="AB27" s="13">
        <v>0</v>
      </c>
      <c r="AC27" s="13">
        <v>0</v>
      </c>
    </row>
    <row r="28" spans="2:29" x14ac:dyDescent="0.2">
      <c r="B28" s="10">
        <v>17</v>
      </c>
      <c r="C28" s="11" t="s">
        <v>45</v>
      </c>
      <c r="D28" s="12">
        <v>439</v>
      </c>
      <c r="E28" s="12">
        <v>5</v>
      </c>
      <c r="F28" s="12">
        <v>0</v>
      </c>
      <c r="G28" s="12">
        <v>0</v>
      </c>
      <c r="H28" s="12">
        <v>0</v>
      </c>
      <c r="I28" s="12">
        <v>0</v>
      </c>
      <c r="J28" s="12">
        <v>12924</v>
      </c>
      <c r="K28" s="12">
        <v>1328114</v>
      </c>
      <c r="L28" s="13">
        <v>4461</v>
      </c>
      <c r="M28" s="13">
        <v>15188.356470000001</v>
      </c>
      <c r="N28" s="13">
        <v>6764</v>
      </c>
      <c r="O28" s="13">
        <v>25113.394359999998</v>
      </c>
      <c r="P28" s="13">
        <v>5223</v>
      </c>
      <c r="Q28" s="13">
        <v>5652.503920000001</v>
      </c>
      <c r="R28" s="13">
        <v>90</v>
      </c>
      <c r="S28" s="13">
        <v>528.99367999999993</v>
      </c>
      <c r="T28" s="13">
        <v>64025</v>
      </c>
      <c r="U28" s="13">
        <v>215049.47609000001</v>
      </c>
      <c r="V28" s="13">
        <v>45026</v>
      </c>
      <c r="W28" s="13">
        <v>178514.66205000001</v>
      </c>
      <c r="X28" s="13">
        <v>177</v>
      </c>
      <c r="Y28" s="13">
        <v>5704.0649999999996</v>
      </c>
      <c r="Z28" s="13">
        <v>216617</v>
      </c>
      <c r="AA28" s="13">
        <v>1520139.575</v>
      </c>
      <c r="AB28" s="13">
        <v>0</v>
      </c>
      <c r="AC28" s="13">
        <v>0</v>
      </c>
    </row>
    <row r="29" spans="2:29" x14ac:dyDescent="0.2">
      <c r="B29" s="10">
        <v>18</v>
      </c>
      <c r="C29" s="11" t="s">
        <v>46</v>
      </c>
      <c r="D29" s="12">
        <v>244</v>
      </c>
      <c r="E29" s="12">
        <v>38</v>
      </c>
      <c r="F29" s="12">
        <v>1665</v>
      </c>
      <c r="G29" s="12">
        <v>0</v>
      </c>
      <c r="H29" s="12">
        <v>0</v>
      </c>
      <c r="I29" s="12">
        <v>43085</v>
      </c>
      <c r="J29" s="12">
        <v>12113</v>
      </c>
      <c r="K29" s="12">
        <v>620843</v>
      </c>
      <c r="L29" s="13">
        <v>23804</v>
      </c>
      <c r="M29" s="13">
        <v>61264.330030000005</v>
      </c>
      <c r="N29" s="13">
        <v>7181</v>
      </c>
      <c r="O29" s="13">
        <v>29522.482410000001</v>
      </c>
      <c r="P29" s="13">
        <v>2</v>
      </c>
      <c r="Q29" s="13">
        <v>15.468999999999999</v>
      </c>
      <c r="R29" s="13">
        <v>304</v>
      </c>
      <c r="S29" s="13">
        <v>1110.5</v>
      </c>
      <c r="T29" s="13">
        <v>97226</v>
      </c>
      <c r="U29" s="13">
        <v>214592.73729999995</v>
      </c>
      <c r="V29" s="13">
        <v>3399</v>
      </c>
      <c r="W29" s="13">
        <v>11065.189789999999</v>
      </c>
      <c r="X29" s="13">
        <v>0</v>
      </c>
      <c r="Y29" s="13">
        <v>0</v>
      </c>
      <c r="Z29" s="13">
        <v>356506</v>
      </c>
      <c r="AA29" s="13">
        <v>1675351.1311999999</v>
      </c>
      <c r="AB29" s="13">
        <v>0</v>
      </c>
      <c r="AC29" s="13">
        <v>0</v>
      </c>
    </row>
    <row r="30" spans="2:29" x14ac:dyDescent="0.2">
      <c r="B30" s="10">
        <v>19</v>
      </c>
      <c r="C30" s="11" t="s">
        <v>47</v>
      </c>
      <c r="D30" s="12">
        <v>1816</v>
      </c>
      <c r="E30" s="12">
        <v>286</v>
      </c>
      <c r="F30" s="12">
        <v>27060</v>
      </c>
      <c r="G30" s="12">
        <v>1000</v>
      </c>
      <c r="H30" s="12">
        <v>0</v>
      </c>
      <c r="I30" s="12">
        <v>6313598</v>
      </c>
      <c r="J30" s="12">
        <v>2146770</v>
      </c>
      <c r="K30" s="12">
        <v>14910099</v>
      </c>
      <c r="L30" s="13">
        <v>3537151</v>
      </c>
      <c r="M30" s="13">
        <v>9039038.5150000006</v>
      </c>
      <c r="N30" s="13">
        <v>5299614</v>
      </c>
      <c r="O30" s="13">
        <v>12932510.58388</v>
      </c>
      <c r="P30" s="13">
        <v>0</v>
      </c>
      <c r="Q30" s="13">
        <v>0</v>
      </c>
      <c r="R30" s="13">
        <v>5215</v>
      </c>
      <c r="S30" s="13">
        <v>26167.30875</v>
      </c>
      <c r="T30" s="13">
        <v>1841862</v>
      </c>
      <c r="U30" s="13">
        <v>5838740.2000000002</v>
      </c>
      <c r="V30" s="13">
        <v>860947</v>
      </c>
      <c r="W30" s="13">
        <v>3834981.0159999998</v>
      </c>
      <c r="X30" s="13">
        <v>2923</v>
      </c>
      <c r="Y30" s="13">
        <v>45532.733340000006</v>
      </c>
      <c r="Z30" s="13">
        <v>6161788</v>
      </c>
      <c r="AA30" s="13">
        <v>35156970.325999998</v>
      </c>
      <c r="AB30" s="13">
        <v>0</v>
      </c>
      <c r="AC30" s="13">
        <v>0</v>
      </c>
    </row>
    <row r="31" spans="2:29" x14ac:dyDescent="0.2">
      <c r="B31" s="10">
        <v>20</v>
      </c>
      <c r="C31" s="11" t="s">
        <v>48</v>
      </c>
      <c r="D31" s="12">
        <v>13039</v>
      </c>
      <c r="E31" s="12">
        <v>8135</v>
      </c>
      <c r="F31" s="12">
        <v>1775520</v>
      </c>
      <c r="G31" s="12">
        <v>1764</v>
      </c>
      <c r="H31" s="12">
        <v>2230670</v>
      </c>
      <c r="I31" s="12">
        <v>1145273</v>
      </c>
      <c r="J31" s="12">
        <v>26260095</v>
      </c>
      <c r="K31" s="12">
        <v>62713251</v>
      </c>
      <c r="L31" s="13">
        <v>92211990</v>
      </c>
      <c r="M31" s="13">
        <v>183441113.14156997</v>
      </c>
      <c r="N31" s="13">
        <v>37006162</v>
      </c>
      <c r="O31" s="13">
        <v>320617497.04571998</v>
      </c>
      <c r="P31" s="13">
        <v>0</v>
      </c>
      <c r="Q31" s="13">
        <v>0</v>
      </c>
      <c r="R31" s="13">
        <v>171355</v>
      </c>
      <c r="S31" s="13">
        <v>1167734.3613199999</v>
      </c>
      <c r="T31" s="13">
        <v>6663685</v>
      </c>
      <c r="U31" s="13">
        <v>32838519.588240005</v>
      </c>
      <c r="V31" s="13">
        <v>5209032</v>
      </c>
      <c r="W31" s="13">
        <v>32442665.46582</v>
      </c>
      <c r="X31" s="13">
        <v>41056</v>
      </c>
      <c r="Y31" s="13">
        <v>986352.0358999999</v>
      </c>
      <c r="Z31" s="13">
        <v>28127578</v>
      </c>
      <c r="AA31" s="13">
        <v>211842010.03</v>
      </c>
      <c r="AB31" s="13">
        <v>17</v>
      </c>
      <c r="AC31" s="13">
        <v>20.6</v>
      </c>
    </row>
    <row r="32" spans="2:29" x14ac:dyDescent="0.2">
      <c r="B32" s="10">
        <v>21</v>
      </c>
      <c r="C32" s="11" t="s">
        <v>49</v>
      </c>
      <c r="D32" s="12">
        <v>9474</v>
      </c>
      <c r="E32" s="12">
        <v>2580</v>
      </c>
      <c r="F32" s="12">
        <v>2277831</v>
      </c>
      <c r="G32" s="12">
        <v>6390</v>
      </c>
      <c r="H32" s="12">
        <v>549275</v>
      </c>
      <c r="I32" s="12">
        <v>3820874</v>
      </c>
      <c r="J32" s="12">
        <v>18913163</v>
      </c>
      <c r="K32" s="12">
        <v>31820083</v>
      </c>
      <c r="L32" s="13">
        <v>14942281</v>
      </c>
      <c r="M32" s="13">
        <v>89321077.898440242</v>
      </c>
      <c r="N32" s="13">
        <v>68777969</v>
      </c>
      <c r="O32" s="13">
        <v>216010079.07903981</v>
      </c>
      <c r="P32" s="13">
        <v>72</v>
      </c>
      <c r="Q32" s="13">
        <v>7292.7</v>
      </c>
      <c r="R32" s="13">
        <v>46591</v>
      </c>
      <c r="S32" s="13">
        <v>256078.36799999999</v>
      </c>
      <c r="T32" s="13">
        <v>3545429</v>
      </c>
      <c r="U32" s="13">
        <v>20369833.975209922</v>
      </c>
      <c r="V32" s="13">
        <v>2560090</v>
      </c>
      <c r="W32" s="13">
        <v>18472463.817169923</v>
      </c>
      <c r="X32" s="13">
        <v>3687</v>
      </c>
      <c r="Y32" s="13">
        <v>90671.959000000003</v>
      </c>
      <c r="Z32" s="13">
        <v>10765567</v>
      </c>
      <c r="AA32" s="13">
        <v>93014687.894999996</v>
      </c>
      <c r="AB32" s="13">
        <v>0</v>
      </c>
      <c r="AC32" s="13">
        <v>0</v>
      </c>
    </row>
    <row r="33" spans="2:29" x14ac:dyDescent="0.2">
      <c r="B33" s="10">
        <v>22</v>
      </c>
      <c r="C33" s="11" t="s">
        <v>50</v>
      </c>
      <c r="D33" s="12">
        <v>2445</v>
      </c>
      <c r="E33" s="12">
        <v>612</v>
      </c>
      <c r="F33" s="12">
        <v>13694</v>
      </c>
      <c r="G33" s="12">
        <v>2275</v>
      </c>
      <c r="H33" s="12">
        <v>0</v>
      </c>
      <c r="I33" s="12">
        <v>567760</v>
      </c>
      <c r="J33" s="12">
        <v>47457</v>
      </c>
      <c r="K33" s="12">
        <v>11416662</v>
      </c>
      <c r="L33" s="13">
        <v>64931</v>
      </c>
      <c r="M33" s="13">
        <v>316893.04027</v>
      </c>
      <c r="N33" s="13">
        <v>67748</v>
      </c>
      <c r="O33" s="13">
        <v>282451.72194999998</v>
      </c>
      <c r="P33" s="13">
        <v>0</v>
      </c>
      <c r="Q33" s="13">
        <v>0</v>
      </c>
      <c r="R33" s="13">
        <v>437</v>
      </c>
      <c r="S33" s="13">
        <v>2453.15643</v>
      </c>
      <c r="T33" s="13">
        <v>719020</v>
      </c>
      <c r="U33" s="13">
        <v>1924425.0801499959</v>
      </c>
      <c r="V33" s="13">
        <v>140472</v>
      </c>
      <c r="W33" s="13">
        <v>474395.50466999249</v>
      </c>
      <c r="X33" s="13">
        <v>0</v>
      </c>
      <c r="Y33" s="13">
        <v>0</v>
      </c>
      <c r="Z33" s="13">
        <v>3849342</v>
      </c>
      <c r="AA33" s="13">
        <v>21676015.888</v>
      </c>
      <c r="AB33" s="13">
        <v>157</v>
      </c>
      <c r="AC33" s="13">
        <v>51.81</v>
      </c>
    </row>
    <row r="34" spans="2:29" x14ac:dyDescent="0.2">
      <c r="B34" s="10">
        <v>23</v>
      </c>
      <c r="C34" s="11" t="s">
        <v>51</v>
      </c>
      <c r="D34" s="12">
        <v>816</v>
      </c>
      <c r="E34" s="12">
        <v>205</v>
      </c>
      <c r="F34" s="12">
        <v>37296</v>
      </c>
      <c r="G34" s="12">
        <v>6929</v>
      </c>
      <c r="H34" s="12">
        <v>0</v>
      </c>
      <c r="I34" s="12">
        <v>242444</v>
      </c>
      <c r="J34" s="12">
        <v>4478060</v>
      </c>
      <c r="K34" s="12">
        <v>6902851</v>
      </c>
      <c r="L34" s="13">
        <v>15103096</v>
      </c>
      <c r="M34" s="13">
        <v>23553017.397</v>
      </c>
      <c r="N34" s="13">
        <v>2706903</v>
      </c>
      <c r="O34" s="13">
        <v>18560060.100000001</v>
      </c>
      <c r="P34" s="13">
        <v>0</v>
      </c>
      <c r="Q34" s="13">
        <v>0</v>
      </c>
      <c r="R34" s="13">
        <v>20934</v>
      </c>
      <c r="S34" s="13">
        <v>113297.60000000001</v>
      </c>
      <c r="T34" s="13">
        <v>471446</v>
      </c>
      <c r="U34" s="13">
        <v>1976102.5592799999</v>
      </c>
      <c r="V34" s="13">
        <v>275608</v>
      </c>
      <c r="W34" s="13">
        <v>2182732.97768</v>
      </c>
      <c r="X34" s="13">
        <v>0</v>
      </c>
      <c r="Y34" s="13">
        <v>0</v>
      </c>
      <c r="Z34" s="13">
        <v>2649965</v>
      </c>
      <c r="AA34" s="13">
        <v>16537472.374</v>
      </c>
      <c r="AB34" s="13">
        <v>0</v>
      </c>
      <c r="AC34" s="13">
        <v>0</v>
      </c>
    </row>
    <row r="35" spans="2:29" x14ac:dyDescent="0.2">
      <c r="B35" s="10">
        <v>24</v>
      </c>
      <c r="C35" s="11" t="s">
        <v>52</v>
      </c>
      <c r="D35" s="12">
        <v>2091</v>
      </c>
      <c r="E35" s="12">
        <v>944</v>
      </c>
      <c r="F35" s="12">
        <v>109874</v>
      </c>
      <c r="G35" s="12">
        <v>0</v>
      </c>
      <c r="H35" s="12">
        <v>12181</v>
      </c>
      <c r="I35" s="12">
        <v>6876002</v>
      </c>
      <c r="J35" s="12">
        <v>3048435</v>
      </c>
      <c r="K35" s="12">
        <v>11958030</v>
      </c>
      <c r="L35" s="13">
        <v>2320298</v>
      </c>
      <c r="M35" s="13">
        <v>15325427.187999999</v>
      </c>
      <c r="N35" s="13">
        <v>9367553</v>
      </c>
      <c r="O35" s="13">
        <v>29919291.890999999</v>
      </c>
      <c r="P35" s="13">
        <v>0</v>
      </c>
      <c r="Q35" s="13">
        <v>0</v>
      </c>
      <c r="R35" s="13">
        <v>15807</v>
      </c>
      <c r="S35" s="13">
        <v>86850.395000000004</v>
      </c>
      <c r="T35" s="13">
        <v>440172</v>
      </c>
      <c r="U35" s="13">
        <v>1784773.9669999999</v>
      </c>
      <c r="V35" s="13">
        <v>371966</v>
      </c>
      <c r="W35" s="13">
        <v>1939966.1040000001</v>
      </c>
      <c r="X35" s="13">
        <v>780</v>
      </c>
      <c r="Y35" s="13">
        <v>64480.440439999998</v>
      </c>
      <c r="Z35" s="13">
        <v>3554591</v>
      </c>
      <c r="AA35" s="13">
        <v>17538666.942700002</v>
      </c>
      <c r="AB35" s="13">
        <v>0</v>
      </c>
      <c r="AC35" s="13">
        <v>0</v>
      </c>
    </row>
    <row r="36" spans="2:29" x14ac:dyDescent="0.2">
      <c r="B36" s="10">
        <v>25</v>
      </c>
      <c r="C36" s="11" t="s">
        <v>53</v>
      </c>
      <c r="D36" s="12">
        <v>967</v>
      </c>
      <c r="E36" s="12">
        <v>643</v>
      </c>
      <c r="F36" s="12">
        <v>14047</v>
      </c>
      <c r="G36" s="12">
        <v>1391</v>
      </c>
      <c r="H36" s="12">
        <v>0</v>
      </c>
      <c r="I36" s="12">
        <v>646506</v>
      </c>
      <c r="J36" s="12">
        <v>150879</v>
      </c>
      <c r="K36" s="12">
        <v>5243452</v>
      </c>
      <c r="L36" s="13">
        <v>329520</v>
      </c>
      <c r="M36" s="13">
        <v>1701231.5732400001</v>
      </c>
      <c r="N36" s="13">
        <v>85033</v>
      </c>
      <c r="O36" s="13">
        <v>379986.56169000006</v>
      </c>
      <c r="P36" s="13">
        <v>0</v>
      </c>
      <c r="Q36" s="13">
        <v>0</v>
      </c>
      <c r="R36" s="13">
        <v>10361</v>
      </c>
      <c r="S36" s="13">
        <v>47404.5717</v>
      </c>
      <c r="T36" s="13">
        <v>518001</v>
      </c>
      <c r="U36" s="13">
        <v>1417469.10522</v>
      </c>
      <c r="V36" s="13">
        <v>356651</v>
      </c>
      <c r="W36" s="13">
        <v>418117.03591999994</v>
      </c>
      <c r="X36" s="13">
        <v>0</v>
      </c>
      <c r="Y36" s="13">
        <v>0</v>
      </c>
      <c r="Z36" s="13">
        <v>4194986</v>
      </c>
      <c r="AA36" s="13">
        <v>22643863.131000001</v>
      </c>
      <c r="AB36" s="13">
        <v>0</v>
      </c>
      <c r="AC36" s="13">
        <v>0</v>
      </c>
    </row>
    <row r="37" spans="2:29" x14ac:dyDescent="0.2">
      <c r="B37" s="10">
        <v>26</v>
      </c>
      <c r="C37" s="11" t="s">
        <v>54</v>
      </c>
      <c r="D37" s="12">
        <v>966</v>
      </c>
      <c r="E37" s="12">
        <v>503</v>
      </c>
      <c r="F37" s="12">
        <v>9007</v>
      </c>
      <c r="G37" s="12">
        <v>0</v>
      </c>
      <c r="H37" s="12">
        <v>0</v>
      </c>
      <c r="I37" s="12">
        <v>142870</v>
      </c>
      <c r="J37" s="12">
        <v>0</v>
      </c>
      <c r="K37" s="12">
        <v>5586367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509509</v>
      </c>
      <c r="U37" s="13">
        <v>1101403.9742300001</v>
      </c>
      <c r="V37" s="13">
        <v>38423</v>
      </c>
      <c r="W37" s="13">
        <v>129389.77017</v>
      </c>
      <c r="X37" s="13">
        <v>0</v>
      </c>
      <c r="Y37" s="13">
        <v>0</v>
      </c>
      <c r="Z37" s="13">
        <v>2964984</v>
      </c>
      <c r="AA37" s="13">
        <v>15749601.851</v>
      </c>
      <c r="AB37" s="13">
        <v>0</v>
      </c>
      <c r="AC37" s="13">
        <v>0</v>
      </c>
    </row>
    <row r="38" spans="2:29" x14ac:dyDescent="0.2">
      <c r="B38" s="10">
        <v>27</v>
      </c>
      <c r="C38" s="11" t="s">
        <v>55</v>
      </c>
      <c r="D38" s="12">
        <v>1591</v>
      </c>
      <c r="E38" s="12">
        <v>620</v>
      </c>
      <c r="F38" s="12">
        <v>6611</v>
      </c>
      <c r="G38" s="12">
        <v>0</v>
      </c>
      <c r="H38" s="12">
        <v>47244</v>
      </c>
      <c r="I38" s="12">
        <v>7413</v>
      </c>
      <c r="J38" s="12">
        <v>9599</v>
      </c>
      <c r="K38" s="12">
        <v>5400900</v>
      </c>
      <c r="L38" s="13">
        <v>17961</v>
      </c>
      <c r="M38" s="13">
        <v>126320.48361</v>
      </c>
      <c r="N38" s="13">
        <v>7636</v>
      </c>
      <c r="O38" s="13">
        <v>107247.48866999999</v>
      </c>
      <c r="P38" s="13">
        <v>0</v>
      </c>
      <c r="Q38" s="13">
        <v>0</v>
      </c>
      <c r="R38" s="13">
        <v>340</v>
      </c>
      <c r="S38" s="13">
        <v>2731.1</v>
      </c>
      <c r="T38" s="13">
        <v>619399</v>
      </c>
      <c r="U38" s="13">
        <v>1760098.4375299988</v>
      </c>
      <c r="V38" s="13">
        <v>86300</v>
      </c>
      <c r="W38" s="13">
        <v>424919.30650999985</v>
      </c>
      <c r="X38" s="13">
        <v>0</v>
      </c>
      <c r="Y38" s="13">
        <v>0</v>
      </c>
      <c r="Z38" s="13">
        <v>3180143</v>
      </c>
      <c r="AA38" s="13">
        <v>17750693.937180001</v>
      </c>
      <c r="AB38" s="13">
        <v>0</v>
      </c>
      <c r="AC38" s="13">
        <v>0</v>
      </c>
    </row>
    <row r="39" spans="2:29" x14ac:dyDescent="0.2">
      <c r="B39" s="10">
        <v>28</v>
      </c>
      <c r="C39" s="11" t="s">
        <v>56</v>
      </c>
      <c r="D39" s="12">
        <v>2031</v>
      </c>
      <c r="E39" s="12">
        <v>717</v>
      </c>
      <c r="F39" s="12">
        <v>81721</v>
      </c>
      <c r="G39" s="12">
        <v>0</v>
      </c>
      <c r="H39" s="12">
        <v>181693</v>
      </c>
      <c r="I39" s="12">
        <v>806706</v>
      </c>
      <c r="J39" s="12">
        <v>4631622</v>
      </c>
      <c r="K39" s="12">
        <v>36742656</v>
      </c>
      <c r="L39" s="13">
        <v>13664498</v>
      </c>
      <c r="M39" s="13">
        <v>24456251.687919997</v>
      </c>
      <c r="N39" s="13">
        <v>3710956</v>
      </c>
      <c r="O39" s="13">
        <v>28896078.668749999</v>
      </c>
      <c r="P39" s="13">
        <v>0</v>
      </c>
      <c r="Q39" s="13">
        <v>0</v>
      </c>
      <c r="R39" s="13">
        <v>26688</v>
      </c>
      <c r="S39" s="13">
        <v>144987.80786</v>
      </c>
      <c r="T39" s="13">
        <v>1518945</v>
      </c>
      <c r="U39" s="13">
        <v>4816485.5219999999</v>
      </c>
      <c r="V39" s="13">
        <v>1667976</v>
      </c>
      <c r="W39" s="13">
        <v>6089943.9639999997</v>
      </c>
      <c r="X39" s="13">
        <v>0</v>
      </c>
      <c r="Y39" s="13">
        <v>0</v>
      </c>
      <c r="Z39" s="13">
        <v>8375892</v>
      </c>
      <c r="AA39" s="13">
        <v>48932841.461740002</v>
      </c>
      <c r="AB39" s="13">
        <v>0</v>
      </c>
      <c r="AC39" s="13">
        <v>0</v>
      </c>
    </row>
    <row r="40" spans="2:29" x14ac:dyDescent="0.2">
      <c r="B40" s="10">
        <v>29</v>
      </c>
      <c r="C40" s="11" t="s">
        <v>57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335928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9407</v>
      </c>
      <c r="U40" s="13">
        <v>20070.666069999999</v>
      </c>
      <c r="V40" s="13">
        <v>2770</v>
      </c>
      <c r="W40" s="13">
        <v>9453.4465899999996</v>
      </c>
      <c r="X40" s="13">
        <v>0</v>
      </c>
      <c r="Y40" s="13">
        <v>0</v>
      </c>
      <c r="Z40" s="13">
        <v>54109</v>
      </c>
      <c r="AA40" s="13">
        <v>288064.2</v>
      </c>
      <c r="AB40" s="13">
        <v>0</v>
      </c>
      <c r="AC40" s="13">
        <v>0</v>
      </c>
    </row>
    <row r="41" spans="2:29" x14ac:dyDescent="0.2">
      <c r="B41" s="10">
        <v>30</v>
      </c>
      <c r="C41" s="11" t="s">
        <v>58</v>
      </c>
      <c r="D41" s="12">
        <v>383</v>
      </c>
      <c r="E41" s="12">
        <v>32</v>
      </c>
      <c r="F41" s="12">
        <v>2417157</v>
      </c>
      <c r="G41" s="12">
        <v>0</v>
      </c>
      <c r="H41" s="12">
        <v>1595</v>
      </c>
      <c r="I41" s="12">
        <v>52214</v>
      </c>
      <c r="J41" s="12">
        <v>4608807</v>
      </c>
      <c r="K41" s="12">
        <v>1685814</v>
      </c>
      <c r="L41" s="13">
        <v>3968394</v>
      </c>
      <c r="M41" s="13">
        <v>23402634.55861</v>
      </c>
      <c r="N41" s="13">
        <v>5982886</v>
      </c>
      <c r="O41" s="13">
        <v>41367753.81284</v>
      </c>
      <c r="P41" s="13">
        <v>0</v>
      </c>
      <c r="Q41" s="13">
        <v>0</v>
      </c>
      <c r="R41" s="13">
        <v>29655</v>
      </c>
      <c r="S41" s="13">
        <v>159468.43015</v>
      </c>
      <c r="T41" s="13">
        <v>96501</v>
      </c>
      <c r="U41" s="13">
        <v>361343.13932999998</v>
      </c>
      <c r="V41" s="13">
        <v>60557</v>
      </c>
      <c r="W41" s="13">
        <v>403865.98695999983</v>
      </c>
      <c r="X41" s="13">
        <v>77</v>
      </c>
      <c r="Y41" s="13">
        <v>8981.4476500000001</v>
      </c>
      <c r="Z41" s="13">
        <v>352270</v>
      </c>
      <c r="AA41" s="13">
        <v>2071775.4344000001</v>
      </c>
      <c r="AB41" s="13">
        <v>0</v>
      </c>
      <c r="AC41" s="13">
        <v>0</v>
      </c>
    </row>
    <row r="42" spans="2:29" x14ac:dyDescent="0.2">
      <c r="B42" s="10">
        <v>31</v>
      </c>
      <c r="C42" s="11" t="s">
        <v>59</v>
      </c>
      <c r="D42" s="12">
        <v>913</v>
      </c>
      <c r="E42" s="12">
        <v>359</v>
      </c>
      <c r="F42" s="12">
        <v>13807</v>
      </c>
      <c r="G42" s="12">
        <v>0</v>
      </c>
      <c r="H42" s="12">
        <v>34764</v>
      </c>
      <c r="I42" s="12">
        <v>113878</v>
      </c>
      <c r="J42" s="12">
        <v>347272</v>
      </c>
      <c r="K42" s="12">
        <v>4156505</v>
      </c>
      <c r="L42" s="13">
        <v>401618</v>
      </c>
      <c r="M42" s="13">
        <v>1749007.4009500002</v>
      </c>
      <c r="N42" s="13">
        <v>561812</v>
      </c>
      <c r="O42" s="13">
        <v>2891278.22242</v>
      </c>
      <c r="P42" s="13">
        <v>0</v>
      </c>
      <c r="Q42" s="13">
        <v>0</v>
      </c>
      <c r="R42" s="13">
        <v>0</v>
      </c>
      <c r="S42" s="13">
        <v>0</v>
      </c>
      <c r="T42" s="13">
        <v>656487</v>
      </c>
      <c r="U42" s="13">
        <v>2049139.1370000001</v>
      </c>
      <c r="V42" s="13">
        <v>125434</v>
      </c>
      <c r="W42" s="13">
        <v>761723.19392999995</v>
      </c>
      <c r="X42" s="13">
        <v>0</v>
      </c>
      <c r="Y42" s="13">
        <v>0</v>
      </c>
      <c r="Z42" s="13">
        <v>2225166</v>
      </c>
      <c r="AA42" s="13">
        <v>12287626.448000001</v>
      </c>
      <c r="AB42" s="13">
        <v>0</v>
      </c>
      <c r="AC42" s="13">
        <v>0</v>
      </c>
    </row>
    <row r="43" spans="2:29" x14ac:dyDescent="0.2">
      <c r="B43" s="10">
        <v>32</v>
      </c>
      <c r="C43" s="11" t="s">
        <v>60</v>
      </c>
      <c r="D43" s="12">
        <v>510</v>
      </c>
      <c r="E43" s="12">
        <v>643</v>
      </c>
      <c r="F43" s="12">
        <v>887</v>
      </c>
      <c r="G43" s="12">
        <v>0</v>
      </c>
      <c r="H43" s="12">
        <v>0</v>
      </c>
      <c r="I43" s="12">
        <v>201199</v>
      </c>
      <c r="J43" s="12">
        <v>18048</v>
      </c>
      <c r="K43" s="12">
        <v>2608096</v>
      </c>
      <c r="L43" s="13">
        <v>33077</v>
      </c>
      <c r="M43" s="13">
        <v>163515.36984</v>
      </c>
      <c r="N43" s="13">
        <v>13629</v>
      </c>
      <c r="O43" s="13">
        <v>92930.68131</v>
      </c>
      <c r="P43" s="13">
        <v>0</v>
      </c>
      <c r="Q43" s="13">
        <v>0</v>
      </c>
      <c r="R43" s="13">
        <v>1494</v>
      </c>
      <c r="S43" s="13">
        <v>6403.1</v>
      </c>
      <c r="T43" s="13">
        <v>224813</v>
      </c>
      <c r="U43" s="13">
        <v>963396.96100000001</v>
      </c>
      <c r="V43" s="13">
        <v>21893</v>
      </c>
      <c r="W43" s="13">
        <v>156442.701</v>
      </c>
      <c r="X43" s="13">
        <v>47</v>
      </c>
      <c r="Y43" s="13">
        <v>134.70500000000001</v>
      </c>
      <c r="Z43" s="13">
        <v>3825782</v>
      </c>
      <c r="AA43" s="13">
        <v>21495359.600000001</v>
      </c>
      <c r="AB43" s="13">
        <v>0</v>
      </c>
      <c r="AC43" s="13">
        <v>0</v>
      </c>
    </row>
    <row r="44" spans="2:29" x14ac:dyDescent="0.2">
      <c r="B44" s="10">
        <v>33</v>
      </c>
      <c r="C44" s="11" t="s">
        <v>61</v>
      </c>
      <c r="D44" s="12">
        <v>1247</v>
      </c>
      <c r="E44" s="12">
        <v>115</v>
      </c>
      <c r="F44" s="12">
        <v>107909</v>
      </c>
      <c r="G44" s="12">
        <v>76840</v>
      </c>
      <c r="H44" s="12">
        <v>112988</v>
      </c>
      <c r="I44" s="12">
        <v>581552172</v>
      </c>
      <c r="J44" s="12">
        <v>2857644</v>
      </c>
      <c r="K44" s="12">
        <v>5391600</v>
      </c>
      <c r="L44" s="13">
        <v>13558895</v>
      </c>
      <c r="M44" s="13">
        <v>21514517.18854</v>
      </c>
      <c r="N44" s="13">
        <v>1568796</v>
      </c>
      <c r="O44" s="13">
        <v>14454675.965490004</v>
      </c>
      <c r="P44" s="13">
        <v>0</v>
      </c>
      <c r="Q44" s="13">
        <v>0</v>
      </c>
      <c r="R44" s="13">
        <v>8374</v>
      </c>
      <c r="S44" s="13">
        <v>45595.199999999997</v>
      </c>
      <c r="T44" s="13">
        <v>365838</v>
      </c>
      <c r="U44" s="13">
        <v>1539203.2203599999</v>
      </c>
      <c r="V44" s="13">
        <v>59259</v>
      </c>
      <c r="W44" s="13">
        <v>525896.40478999296</v>
      </c>
      <c r="X44" s="13">
        <v>13</v>
      </c>
      <c r="Y44" s="13">
        <v>117.694</v>
      </c>
      <c r="Z44" s="13">
        <v>1523032</v>
      </c>
      <c r="AA44" s="13">
        <v>9868478.2410000004</v>
      </c>
      <c r="AB44" s="13">
        <v>0</v>
      </c>
      <c r="AC44" s="13">
        <v>0</v>
      </c>
    </row>
    <row r="45" spans="2:29" x14ac:dyDescent="0.2">
      <c r="B45" s="7" t="s">
        <v>62</v>
      </c>
      <c r="C45" s="35"/>
      <c r="D45" s="8"/>
      <c r="E45" s="8"/>
      <c r="F45" s="8"/>
      <c r="G45" s="8"/>
      <c r="H45" s="8"/>
      <c r="I45" s="8"/>
      <c r="J45" s="8"/>
      <c r="K45" s="8"/>
      <c r="L45" s="9"/>
      <c r="M45" s="9"/>
      <c r="N45" s="9"/>
      <c r="O45" s="9"/>
      <c r="P45" s="9"/>
      <c r="Q45" s="9"/>
      <c r="R45" s="9"/>
      <c r="S45" s="9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spans="2:29" x14ac:dyDescent="0.2">
      <c r="B46" s="10">
        <v>34</v>
      </c>
      <c r="C46" s="11" t="s">
        <v>63</v>
      </c>
      <c r="D46" s="12">
        <v>0</v>
      </c>
      <c r="E46" s="12">
        <v>0</v>
      </c>
      <c r="F46" s="12">
        <v>11269</v>
      </c>
      <c r="G46" s="12">
        <v>0</v>
      </c>
      <c r="H46" s="12">
        <v>0</v>
      </c>
      <c r="I46" s="12">
        <v>0</v>
      </c>
      <c r="J46" s="12">
        <v>1319326</v>
      </c>
      <c r="K46" s="12">
        <v>0</v>
      </c>
      <c r="L46" s="13">
        <v>1554739</v>
      </c>
      <c r="M46" s="13">
        <v>15857709.539000001</v>
      </c>
      <c r="N46" s="13">
        <v>4125798</v>
      </c>
      <c r="O46" s="13">
        <v>40597425.626000002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</row>
    <row r="47" spans="2:29" x14ac:dyDescent="0.2">
      <c r="B47" s="10">
        <v>35</v>
      </c>
      <c r="C47" s="11" t="s">
        <v>64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</row>
    <row r="48" spans="2:29" x14ac:dyDescent="0.2">
      <c r="B48" s="10">
        <v>36</v>
      </c>
      <c r="C48" s="11" t="s">
        <v>65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1183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639</v>
      </c>
      <c r="U48" s="13">
        <v>2237.779</v>
      </c>
      <c r="V48" s="13">
        <v>0</v>
      </c>
      <c r="W48" s="13">
        <v>0</v>
      </c>
      <c r="X48" s="13">
        <v>0</v>
      </c>
      <c r="Y48" s="13">
        <v>0</v>
      </c>
      <c r="Z48" s="13">
        <v>1166</v>
      </c>
      <c r="AA48" s="13">
        <v>6287.15</v>
      </c>
      <c r="AB48" s="13">
        <v>0</v>
      </c>
      <c r="AC48" s="13">
        <v>0</v>
      </c>
    </row>
    <row r="49" spans="1:29" x14ac:dyDescent="0.2">
      <c r="B49" s="10">
        <v>37</v>
      </c>
      <c r="C49" s="11" t="s">
        <v>66</v>
      </c>
      <c r="D49" s="12">
        <v>0</v>
      </c>
      <c r="E49" s="12">
        <v>0</v>
      </c>
      <c r="F49" s="12">
        <v>0</v>
      </c>
      <c r="G49" s="12">
        <v>0</v>
      </c>
      <c r="H49" s="12">
        <v>1</v>
      </c>
      <c r="I49" s="12">
        <v>0</v>
      </c>
      <c r="J49" s="12">
        <v>0</v>
      </c>
      <c r="K49" s="12">
        <v>519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46</v>
      </c>
      <c r="U49" s="13">
        <v>135.48213000000001</v>
      </c>
      <c r="V49" s="13">
        <v>0</v>
      </c>
      <c r="W49" s="13">
        <v>0</v>
      </c>
      <c r="X49" s="13">
        <v>0</v>
      </c>
      <c r="Y49" s="13">
        <v>0</v>
      </c>
      <c r="Z49" s="13">
        <v>499</v>
      </c>
      <c r="AA49" s="13">
        <v>4657.8999999999996</v>
      </c>
      <c r="AB49" s="13">
        <v>0</v>
      </c>
      <c r="AC49" s="13">
        <v>0</v>
      </c>
    </row>
    <row r="50" spans="1:29" x14ac:dyDescent="0.2">
      <c r="B50" s="10">
        <v>38</v>
      </c>
      <c r="C50" s="11" t="s">
        <v>67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271495</v>
      </c>
      <c r="K50" s="12">
        <v>0</v>
      </c>
      <c r="L50" s="13">
        <v>160387</v>
      </c>
      <c r="M50" s="13">
        <v>1132412.1495700171</v>
      </c>
      <c r="N50" s="13">
        <v>301366</v>
      </c>
      <c r="O50" s="13">
        <v>3630601.3552097175</v>
      </c>
      <c r="P50" s="13">
        <v>0</v>
      </c>
      <c r="Q50" s="13">
        <v>0</v>
      </c>
      <c r="R50" s="13">
        <v>445</v>
      </c>
      <c r="S50" s="13">
        <v>3573.3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</row>
    <row r="51" spans="1:29" x14ac:dyDescent="0.2">
      <c r="B51" s="10">
        <v>39</v>
      </c>
      <c r="C51" s="11" t="s">
        <v>68</v>
      </c>
      <c r="D51" s="12">
        <v>413</v>
      </c>
      <c r="E51" s="12">
        <v>316</v>
      </c>
      <c r="F51" s="12">
        <v>652</v>
      </c>
      <c r="G51" s="12">
        <v>84</v>
      </c>
      <c r="H51" s="12">
        <v>0</v>
      </c>
      <c r="I51" s="12">
        <v>9181</v>
      </c>
      <c r="J51" s="12">
        <v>324662</v>
      </c>
      <c r="K51" s="12">
        <v>1606792</v>
      </c>
      <c r="L51" s="13">
        <v>309889</v>
      </c>
      <c r="M51" s="13">
        <v>1465866.9696900002</v>
      </c>
      <c r="N51" s="13">
        <v>234115</v>
      </c>
      <c r="O51" s="13">
        <v>1979592.0201300001</v>
      </c>
      <c r="P51" s="13">
        <v>0</v>
      </c>
      <c r="Q51" s="13">
        <v>0</v>
      </c>
      <c r="R51" s="13">
        <v>943</v>
      </c>
      <c r="S51" s="13">
        <v>2958.1</v>
      </c>
      <c r="T51" s="13">
        <v>117769</v>
      </c>
      <c r="U51" s="13">
        <v>399338.48523999867</v>
      </c>
      <c r="V51" s="13">
        <v>51886</v>
      </c>
      <c r="W51" s="13">
        <v>273453.46140999993</v>
      </c>
      <c r="X51" s="13">
        <v>0</v>
      </c>
      <c r="Y51" s="13">
        <v>0</v>
      </c>
      <c r="Z51" s="13">
        <v>571029</v>
      </c>
      <c r="AA51" s="13">
        <v>3736776.3370000417</v>
      </c>
      <c r="AB51" s="13">
        <v>0</v>
      </c>
      <c r="AC51" s="13">
        <v>0</v>
      </c>
    </row>
    <row r="52" spans="1:29" x14ac:dyDescent="0.2">
      <c r="B52" s="10">
        <v>40</v>
      </c>
      <c r="C52" s="11" t="s">
        <v>69</v>
      </c>
      <c r="D52" s="12">
        <v>12</v>
      </c>
      <c r="E52" s="12">
        <v>3</v>
      </c>
      <c r="F52" s="12">
        <v>0</v>
      </c>
      <c r="G52" s="12">
        <v>0</v>
      </c>
      <c r="H52" s="12">
        <v>0</v>
      </c>
      <c r="I52" s="12">
        <v>280</v>
      </c>
      <c r="J52" s="12">
        <v>0</v>
      </c>
      <c r="K52" s="12">
        <v>98852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14955</v>
      </c>
      <c r="U52" s="13">
        <v>61969.016399999942</v>
      </c>
      <c r="V52" s="13">
        <v>15024</v>
      </c>
      <c r="W52" s="13">
        <v>47468.343020000088</v>
      </c>
      <c r="X52" s="13">
        <v>0</v>
      </c>
      <c r="Y52" s="13">
        <v>0</v>
      </c>
      <c r="Z52" s="13">
        <v>19431</v>
      </c>
      <c r="AA52" s="13">
        <v>128125.63499999999</v>
      </c>
      <c r="AB52" s="13">
        <v>0</v>
      </c>
      <c r="AC52" s="13">
        <v>0</v>
      </c>
    </row>
    <row r="53" spans="1:29" x14ac:dyDescent="0.2">
      <c r="B53" s="10">
        <v>41</v>
      </c>
      <c r="C53" s="11" t="s">
        <v>70</v>
      </c>
      <c r="D53" s="12">
        <v>2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23586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441</v>
      </c>
      <c r="U53" s="13">
        <v>1622.9683400000001</v>
      </c>
      <c r="V53" s="13">
        <v>90</v>
      </c>
      <c r="W53" s="13">
        <v>395.54866999999996</v>
      </c>
      <c r="X53" s="13">
        <v>0</v>
      </c>
      <c r="Y53" s="13">
        <v>0</v>
      </c>
      <c r="Z53" s="13">
        <v>1354</v>
      </c>
      <c r="AA53" s="13">
        <v>8294.2000000000007</v>
      </c>
      <c r="AB53" s="13">
        <v>0</v>
      </c>
      <c r="AC53" s="13">
        <v>0</v>
      </c>
    </row>
    <row r="54" spans="1:29" x14ac:dyDescent="0.2">
      <c r="B54" s="10">
        <v>42</v>
      </c>
      <c r="C54" s="11" t="s">
        <v>71</v>
      </c>
      <c r="D54" s="16">
        <v>50</v>
      </c>
      <c r="E54" s="12">
        <v>25</v>
      </c>
      <c r="F54" s="12">
        <v>0</v>
      </c>
      <c r="G54" s="12">
        <v>0</v>
      </c>
      <c r="H54" s="12">
        <v>0</v>
      </c>
      <c r="I54" s="12">
        <v>0</v>
      </c>
      <c r="J54" s="12">
        <v>962380</v>
      </c>
      <c r="K54" s="12">
        <v>924109</v>
      </c>
      <c r="L54" s="13">
        <v>995825</v>
      </c>
      <c r="M54" s="13">
        <v>4500274.296699754</v>
      </c>
      <c r="N54" s="13">
        <v>2735388</v>
      </c>
      <c r="O54" s="13">
        <v>10446997.740260148</v>
      </c>
      <c r="P54" s="13">
        <v>0</v>
      </c>
      <c r="Q54" s="13">
        <v>0</v>
      </c>
      <c r="R54" s="13">
        <v>2208</v>
      </c>
      <c r="S54" s="13">
        <v>17549.180089999994</v>
      </c>
      <c r="T54" s="13">
        <v>273569</v>
      </c>
      <c r="U54" s="13">
        <v>1623044.6605499999</v>
      </c>
      <c r="V54" s="13">
        <v>0</v>
      </c>
      <c r="W54" s="13">
        <v>0</v>
      </c>
      <c r="X54" s="13">
        <v>0</v>
      </c>
      <c r="Y54" s="13">
        <v>0</v>
      </c>
      <c r="Z54" s="13">
        <v>221086</v>
      </c>
      <c r="AA54" s="13">
        <v>1446651.7186799997</v>
      </c>
      <c r="AB54" s="13">
        <v>0</v>
      </c>
      <c r="AC54" s="13">
        <v>0</v>
      </c>
    </row>
    <row r="55" spans="1:29" x14ac:dyDescent="0.2">
      <c r="B55" s="10">
        <v>43</v>
      </c>
      <c r="C55" s="11" t="s">
        <v>72</v>
      </c>
      <c r="D55" s="12">
        <v>1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1903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766</v>
      </c>
      <c r="U55" s="13">
        <v>2397.8649999999998</v>
      </c>
      <c r="V55" s="13">
        <v>88</v>
      </c>
      <c r="W55" s="13">
        <v>209.80500000000001</v>
      </c>
      <c r="X55" s="13">
        <v>0</v>
      </c>
      <c r="Y55" s="13">
        <v>0</v>
      </c>
      <c r="Z55" s="13">
        <v>272</v>
      </c>
      <c r="AA55" s="13">
        <v>1820.604</v>
      </c>
      <c r="AB55" s="13">
        <v>0</v>
      </c>
      <c r="AC55" s="13">
        <v>0</v>
      </c>
    </row>
    <row r="56" spans="1:29" x14ac:dyDescent="0.2">
      <c r="B56" s="10">
        <v>44</v>
      </c>
      <c r="C56" s="11" t="s">
        <v>73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648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364</v>
      </c>
      <c r="U56" s="13">
        <v>754.47086999999999</v>
      </c>
      <c r="V56" s="13">
        <v>174</v>
      </c>
      <c r="W56" s="13">
        <v>316.82884999999999</v>
      </c>
      <c r="X56" s="13">
        <v>0</v>
      </c>
      <c r="Y56" s="13">
        <v>0</v>
      </c>
      <c r="Z56" s="13">
        <v>114</v>
      </c>
      <c r="AA56" s="13">
        <v>638.6</v>
      </c>
      <c r="AB56" s="13">
        <v>0</v>
      </c>
      <c r="AC56" s="13">
        <v>0</v>
      </c>
    </row>
    <row r="57" spans="1:29" x14ac:dyDescent="0.2">
      <c r="A57" s="14" t="s">
        <v>74</v>
      </c>
      <c r="B57" s="10">
        <v>45</v>
      </c>
      <c r="C57" s="11" t="s">
        <v>75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115</v>
      </c>
      <c r="J57" s="12">
        <v>846745</v>
      </c>
      <c r="K57" s="12">
        <v>858605</v>
      </c>
      <c r="L57" s="13">
        <v>114393</v>
      </c>
      <c r="M57" s="13">
        <v>163334.84708999979</v>
      </c>
      <c r="N57" s="13">
        <v>310772</v>
      </c>
      <c r="O57" s="13">
        <v>368017.4218699999</v>
      </c>
      <c r="P57" s="13">
        <v>0</v>
      </c>
      <c r="Q57" s="13">
        <v>0</v>
      </c>
      <c r="R57" s="13">
        <v>1493</v>
      </c>
      <c r="S57" s="13">
        <v>4366.4593800000002</v>
      </c>
      <c r="T57" s="13">
        <v>7089</v>
      </c>
      <c r="U57" s="13">
        <v>28268.704529999999</v>
      </c>
      <c r="V57" s="13">
        <v>8551</v>
      </c>
      <c r="W57" s="13">
        <v>38638.377769999999</v>
      </c>
      <c r="X57" s="13">
        <v>0</v>
      </c>
      <c r="Y57" s="13">
        <v>0</v>
      </c>
      <c r="Z57" s="13">
        <v>23944</v>
      </c>
      <c r="AA57" s="13">
        <v>102990.05502</v>
      </c>
      <c r="AB57" s="13">
        <v>0</v>
      </c>
      <c r="AC57" s="13">
        <v>0</v>
      </c>
    </row>
    <row r="58" spans="1:29" x14ac:dyDescent="0.2">
      <c r="B58" s="10">
        <v>46</v>
      </c>
      <c r="C58" s="35" t="s">
        <v>76</v>
      </c>
      <c r="D58" s="12">
        <v>98</v>
      </c>
      <c r="E58" s="12">
        <v>36</v>
      </c>
      <c r="F58" s="12">
        <v>0</v>
      </c>
      <c r="G58" s="12">
        <v>0</v>
      </c>
      <c r="H58" s="12">
        <v>0</v>
      </c>
      <c r="I58" s="12">
        <v>0</v>
      </c>
      <c r="J58" s="12">
        <v>656941</v>
      </c>
      <c r="K58" s="12">
        <v>859502</v>
      </c>
      <c r="L58" s="13">
        <v>621731</v>
      </c>
      <c r="M58" s="13">
        <v>2503163.7698298399</v>
      </c>
      <c r="N58" s="13">
        <v>795289</v>
      </c>
      <c r="O58" s="13">
        <v>4108567.5551610226</v>
      </c>
      <c r="P58" s="13">
        <v>0</v>
      </c>
      <c r="Q58" s="13">
        <v>0</v>
      </c>
      <c r="R58" s="13">
        <v>1038</v>
      </c>
      <c r="S58" s="13">
        <v>7534.6824999999999</v>
      </c>
      <c r="T58" s="13">
        <v>161797</v>
      </c>
      <c r="U58" s="13">
        <v>763448.21842999419</v>
      </c>
      <c r="V58" s="13">
        <v>95565</v>
      </c>
      <c r="W58" s="13">
        <v>347763.66007998842</v>
      </c>
      <c r="X58" s="13">
        <v>23</v>
      </c>
      <c r="Y58" s="13">
        <v>251.17500000000001</v>
      </c>
      <c r="Z58" s="13">
        <v>350729</v>
      </c>
      <c r="AA58" s="13">
        <v>2138757.6700199991</v>
      </c>
      <c r="AB58" s="13">
        <v>0</v>
      </c>
      <c r="AC58" s="13">
        <v>0</v>
      </c>
    </row>
    <row r="59" spans="1:29" x14ac:dyDescent="0.2">
      <c r="B59" s="10">
        <v>47</v>
      </c>
      <c r="C59" s="35" t="s">
        <v>77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1032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1215</v>
      </c>
      <c r="U59" s="13">
        <v>4624.6922000000022</v>
      </c>
      <c r="V59" s="13">
        <v>637</v>
      </c>
      <c r="W59" s="13">
        <v>1586.1807300000003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</row>
    <row r="60" spans="1:29" x14ac:dyDescent="0.2">
      <c r="B60" s="7" t="s">
        <v>78</v>
      </c>
      <c r="C60" s="35"/>
      <c r="D60" s="12"/>
      <c r="E60" s="12"/>
      <c r="F60" s="12"/>
      <c r="G60" s="12"/>
      <c r="H60" s="12"/>
      <c r="I60" s="12"/>
      <c r="J60" s="12"/>
      <c r="K60" s="12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s="37" customFormat="1" x14ac:dyDescent="0.25">
      <c r="A61" s="36"/>
      <c r="B61" s="18">
        <v>48</v>
      </c>
      <c r="C61" s="19" t="s">
        <v>79</v>
      </c>
      <c r="D61" s="20">
        <v>0</v>
      </c>
      <c r="E61" s="20">
        <v>0</v>
      </c>
      <c r="F61" s="20">
        <v>0</v>
      </c>
      <c r="G61" s="20">
        <v>161444</v>
      </c>
      <c r="H61" s="20">
        <v>0</v>
      </c>
      <c r="I61" s="20">
        <v>819392</v>
      </c>
      <c r="J61" s="20">
        <v>0</v>
      </c>
      <c r="K61" s="20">
        <v>10430616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1866504</v>
      </c>
      <c r="U61" s="21">
        <v>92605.382440000001</v>
      </c>
      <c r="V61" s="21">
        <v>22699</v>
      </c>
      <c r="W61" s="21">
        <v>24354.534090000005</v>
      </c>
      <c r="X61" s="21">
        <v>0</v>
      </c>
      <c r="Y61" s="21">
        <v>0</v>
      </c>
      <c r="Z61" s="21">
        <v>553431</v>
      </c>
      <c r="AA61" s="21">
        <v>2111481.8690999998</v>
      </c>
      <c r="AB61" s="21">
        <v>0</v>
      </c>
      <c r="AC61" s="21">
        <v>0</v>
      </c>
    </row>
    <row r="62" spans="1:29" s="37" customFormat="1" x14ac:dyDescent="0.25">
      <c r="A62" s="36"/>
      <c r="B62" s="18">
        <v>49</v>
      </c>
      <c r="C62" s="19" t="s">
        <v>80</v>
      </c>
      <c r="D62" s="20">
        <v>0</v>
      </c>
      <c r="E62" s="20">
        <v>0</v>
      </c>
      <c r="F62" s="20">
        <v>0</v>
      </c>
      <c r="G62" s="20">
        <v>470959</v>
      </c>
      <c r="H62" s="20">
        <v>0</v>
      </c>
      <c r="I62" s="20">
        <v>11261</v>
      </c>
      <c r="J62" s="20">
        <v>0</v>
      </c>
      <c r="K62" s="20">
        <v>10883009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70067</v>
      </c>
      <c r="U62" s="21">
        <v>180267.08932999993</v>
      </c>
      <c r="V62" s="21">
        <v>959</v>
      </c>
      <c r="W62" s="21">
        <v>3311.95381</v>
      </c>
      <c r="X62" s="21">
        <v>0</v>
      </c>
      <c r="Y62" s="21">
        <v>0</v>
      </c>
      <c r="Z62" s="21">
        <v>1564629</v>
      </c>
      <c r="AA62" s="21">
        <v>5738493.0180000002</v>
      </c>
      <c r="AB62" s="21">
        <v>0</v>
      </c>
      <c r="AC62" s="21">
        <v>0</v>
      </c>
    </row>
    <row r="63" spans="1:29" s="37" customFormat="1" x14ac:dyDescent="0.25">
      <c r="A63" s="36"/>
      <c r="B63" s="18">
        <v>50</v>
      </c>
      <c r="C63" s="19" t="s">
        <v>81</v>
      </c>
      <c r="D63" s="20">
        <v>0</v>
      </c>
      <c r="E63" s="20">
        <v>0</v>
      </c>
      <c r="F63" s="20">
        <v>0</v>
      </c>
      <c r="G63" s="20">
        <v>182799</v>
      </c>
      <c r="H63" s="20">
        <v>0</v>
      </c>
      <c r="I63" s="20">
        <v>3241235</v>
      </c>
      <c r="J63" s="20">
        <v>0</v>
      </c>
      <c r="K63" s="20">
        <v>32031228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67166</v>
      </c>
      <c r="W63" s="21">
        <v>84713.700469999996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</row>
    <row r="64" spans="1:29" s="37" customFormat="1" x14ac:dyDescent="0.25">
      <c r="A64" s="36"/>
      <c r="B64" s="18">
        <v>51</v>
      </c>
      <c r="C64" s="19" t="s">
        <v>82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155800</v>
      </c>
      <c r="J64" s="20">
        <v>0</v>
      </c>
      <c r="K64" s="20">
        <v>1537679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13313</v>
      </c>
      <c r="U64" s="21">
        <v>21881.34921</v>
      </c>
      <c r="V64" s="21">
        <v>13901</v>
      </c>
      <c r="W64" s="21">
        <v>44478.756259999995</v>
      </c>
      <c r="X64" s="21">
        <v>2442</v>
      </c>
      <c r="Y64" s="21">
        <v>1307.58743</v>
      </c>
      <c r="Z64" s="21">
        <v>161685</v>
      </c>
      <c r="AA64" s="21">
        <v>906169.4</v>
      </c>
      <c r="AB64" s="21">
        <v>0</v>
      </c>
      <c r="AC64" s="21">
        <v>0</v>
      </c>
    </row>
    <row r="65" spans="1:29" s="37" customFormat="1" x14ac:dyDescent="0.25">
      <c r="A65" s="36"/>
      <c r="B65" s="18">
        <v>52</v>
      </c>
      <c r="C65" s="19" t="s">
        <v>83</v>
      </c>
      <c r="D65" s="20">
        <v>0</v>
      </c>
      <c r="E65" s="20">
        <v>0</v>
      </c>
      <c r="F65" s="20">
        <v>0</v>
      </c>
      <c r="G65" s="20">
        <v>255136</v>
      </c>
      <c r="H65" s="20">
        <v>0</v>
      </c>
      <c r="I65" s="20">
        <v>0</v>
      </c>
      <c r="J65" s="20">
        <v>0</v>
      </c>
      <c r="K65" s="20">
        <v>3097104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16517</v>
      </c>
      <c r="U65" s="21">
        <v>29368.7359</v>
      </c>
      <c r="V65" s="21">
        <v>12764</v>
      </c>
      <c r="W65" s="21">
        <v>30966.985280000001</v>
      </c>
      <c r="X65" s="21">
        <v>0</v>
      </c>
      <c r="Y65" s="21">
        <v>0</v>
      </c>
      <c r="Z65" s="21">
        <v>463555</v>
      </c>
      <c r="AA65" s="21">
        <v>1322781.3999999999</v>
      </c>
      <c r="AB65" s="21">
        <v>0</v>
      </c>
      <c r="AC65" s="21">
        <v>0</v>
      </c>
    </row>
    <row r="66" spans="1:29" s="37" customFormat="1" x14ac:dyDescent="0.25">
      <c r="A66" s="36"/>
      <c r="B66" s="18">
        <v>53</v>
      </c>
      <c r="C66" s="38" t="s">
        <v>84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28289270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28</v>
      </c>
      <c r="U66" s="21">
        <v>5.79575</v>
      </c>
      <c r="V66" s="21">
        <v>114</v>
      </c>
      <c r="W66" s="21">
        <v>5.5597700000000003</v>
      </c>
      <c r="X66" s="21">
        <v>0</v>
      </c>
      <c r="Y66" s="21">
        <v>0</v>
      </c>
      <c r="Z66" s="21">
        <v>11</v>
      </c>
      <c r="AA66" s="21">
        <v>30.7</v>
      </c>
      <c r="AB66" s="21">
        <v>0</v>
      </c>
      <c r="AC66" s="21">
        <v>0</v>
      </c>
    </row>
    <row r="67" spans="1:29" x14ac:dyDescent="0.2">
      <c r="B67" s="7" t="s">
        <v>85</v>
      </c>
      <c r="C67" s="35"/>
      <c r="D67" s="8"/>
      <c r="E67" s="8"/>
      <c r="F67" s="8"/>
      <c r="G67" s="8"/>
      <c r="H67" s="8"/>
      <c r="I67" s="8"/>
      <c r="J67" s="8"/>
      <c r="K67" s="8"/>
      <c r="L67" s="9"/>
      <c r="M67" s="9"/>
      <c r="N67" s="9"/>
      <c r="O67" s="9"/>
      <c r="P67" s="9"/>
      <c r="Q67" s="9"/>
      <c r="R67" s="9"/>
      <c r="S67" s="9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x14ac:dyDescent="0.2">
      <c r="B68" s="10">
        <v>54</v>
      </c>
      <c r="C68" s="11" t="s">
        <v>86</v>
      </c>
      <c r="D68" s="12">
        <v>753</v>
      </c>
      <c r="E68" s="12">
        <v>6</v>
      </c>
      <c r="F68" s="12">
        <v>0</v>
      </c>
      <c r="G68" s="12">
        <v>862</v>
      </c>
      <c r="H68" s="12">
        <v>0</v>
      </c>
      <c r="I68" s="12">
        <v>385617</v>
      </c>
      <c r="J68" s="12">
        <v>987522</v>
      </c>
      <c r="K68" s="12">
        <v>9206743</v>
      </c>
      <c r="L68" s="13">
        <v>679499</v>
      </c>
      <c r="M68" s="13">
        <v>4001704.9427999901</v>
      </c>
      <c r="N68" s="13">
        <v>2797482</v>
      </c>
      <c r="O68" s="13">
        <v>6244912.8591299858</v>
      </c>
      <c r="P68" s="13">
        <v>447</v>
      </c>
      <c r="Q68" s="13">
        <v>249.453</v>
      </c>
      <c r="R68" s="13">
        <v>2800</v>
      </c>
      <c r="S68" s="13">
        <v>17559.3</v>
      </c>
      <c r="T68" s="13">
        <v>140698</v>
      </c>
      <c r="U68" s="13">
        <v>450845.71275000001</v>
      </c>
      <c r="V68" s="13">
        <v>164186</v>
      </c>
      <c r="W68" s="13">
        <v>724721.36113999994</v>
      </c>
      <c r="X68" s="13">
        <v>92</v>
      </c>
      <c r="Y68" s="13">
        <v>1136.4000000000001</v>
      </c>
      <c r="Z68" s="13">
        <v>1200875</v>
      </c>
      <c r="AA68" s="13">
        <v>6707824.3720000004</v>
      </c>
      <c r="AB68" s="13">
        <v>0</v>
      </c>
      <c r="AC68" s="13">
        <v>0</v>
      </c>
    </row>
    <row r="69" spans="1:29" x14ac:dyDescent="0.2">
      <c r="B69" s="10">
        <v>55</v>
      </c>
      <c r="C69" s="11" t="s">
        <v>87</v>
      </c>
      <c r="D69" s="12">
        <v>207</v>
      </c>
      <c r="E69" s="12">
        <v>2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228078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18742</v>
      </c>
      <c r="U69" s="13">
        <v>72348.920069999993</v>
      </c>
      <c r="V69" s="13">
        <v>1755</v>
      </c>
      <c r="W69" s="13">
        <v>8917.16993</v>
      </c>
      <c r="X69" s="13">
        <v>0</v>
      </c>
      <c r="Y69" s="13">
        <v>0</v>
      </c>
      <c r="Z69" s="13">
        <v>97111</v>
      </c>
      <c r="AA69" s="13">
        <v>632479.94999999995</v>
      </c>
      <c r="AB69" s="13">
        <v>0</v>
      </c>
      <c r="AC69" s="13">
        <v>0</v>
      </c>
    </row>
    <row r="70" spans="1:29" x14ac:dyDescent="0.2">
      <c r="B70" s="10">
        <v>56</v>
      </c>
      <c r="C70" s="11" t="s">
        <v>88</v>
      </c>
      <c r="D70" s="12">
        <v>389</v>
      </c>
      <c r="E70" s="12">
        <v>4</v>
      </c>
      <c r="F70" s="12">
        <v>2842</v>
      </c>
      <c r="G70" s="12">
        <v>366</v>
      </c>
      <c r="H70" s="12">
        <v>0</v>
      </c>
      <c r="I70" s="12">
        <v>60698</v>
      </c>
      <c r="J70" s="12">
        <v>11401</v>
      </c>
      <c r="K70" s="12">
        <v>1194080</v>
      </c>
      <c r="L70" s="13">
        <v>71056</v>
      </c>
      <c r="M70" s="13">
        <v>127409.45354</v>
      </c>
      <c r="N70" s="13">
        <v>6353</v>
      </c>
      <c r="O70" s="13">
        <v>90229.988129999998</v>
      </c>
      <c r="P70" s="13">
        <v>0</v>
      </c>
      <c r="Q70" s="13">
        <v>0</v>
      </c>
      <c r="R70" s="13">
        <v>225</v>
      </c>
      <c r="S70" s="13">
        <v>1336.9</v>
      </c>
      <c r="T70" s="13">
        <v>63426</v>
      </c>
      <c r="U70" s="13">
        <v>195885.3616</v>
      </c>
      <c r="V70" s="13">
        <v>13566</v>
      </c>
      <c r="W70" s="13">
        <v>96274.549009999988</v>
      </c>
      <c r="X70" s="13">
        <v>0</v>
      </c>
      <c r="Y70" s="13">
        <v>0</v>
      </c>
      <c r="Z70" s="13">
        <v>1434133</v>
      </c>
      <c r="AA70" s="13">
        <v>4628709.2070000004</v>
      </c>
      <c r="AB70" s="13">
        <v>0</v>
      </c>
      <c r="AC70" s="13">
        <v>0</v>
      </c>
    </row>
    <row r="71" spans="1:29" x14ac:dyDescent="0.2">
      <c r="B71" s="10">
        <v>57</v>
      </c>
      <c r="C71" s="11" t="s">
        <v>89</v>
      </c>
      <c r="D71" s="12">
        <v>718</v>
      </c>
      <c r="E71" s="12">
        <v>2</v>
      </c>
      <c r="F71" s="12">
        <v>0</v>
      </c>
      <c r="G71" s="12">
        <v>2819</v>
      </c>
      <c r="H71" s="12">
        <v>0</v>
      </c>
      <c r="I71" s="12">
        <v>0</v>
      </c>
      <c r="J71" s="12">
        <v>7993</v>
      </c>
      <c r="K71" s="12">
        <v>5259778</v>
      </c>
      <c r="L71" s="13">
        <v>5053</v>
      </c>
      <c r="M71" s="13">
        <v>13187.645970000016</v>
      </c>
      <c r="N71" s="13">
        <v>47685</v>
      </c>
      <c r="O71" s="13">
        <v>37902.14099</v>
      </c>
      <c r="P71" s="13">
        <v>0</v>
      </c>
      <c r="Q71" s="13">
        <v>0</v>
      </c>
      <c r="R71" s="13">
        <v>36</v>
      </c>
      <c r="S71" s="13">
        <v>112.6</v>
      </c>
      <c r="T71" s="13">
        <v>101513</v>
      </c>
      <c r="U71" s="13">
        <v>230961.94199999992</v>
      </c>
      <c r="V71" s="13">
        <v>7447</v>
      </c>
      <c r="W71" s="13">
        <v>35151.747869999999</v>
      </c>
      <c r="X71" s="13">
        <v>0</v>
      </c>
      <c r="Y71" s="13">
        <v>0</v>
      </c>
      <c r="Z71" s="13">
        <v>678545</v>
      </c>
      <c r="AA71" s="13">
        <v>3685983.4909999999</v>
      </c>
      <c r="AB71" s="13">
        <v>0</v>
      </c>
      <c r="AC71" s="13">
        <v>0</v>
      </c>
    </row>
    <row r="72" spans="1:29" x14ac:dyDescent="0.2">
      <c r="B72" s="10">
        <v>58</v>
      </c>
      <c r="C72" s="11" t="s">
        <v>90</v>
      </c>
      <c r="D72" s="12">
        <v>57</v>
      </c>
      <c r="E72" s="12">
        <v>5</v>
      </c>
      <c r="F72" s="12">
        <v>0</v>
      </c>
      <c r="G72" s="12">
        <v>173</v>
      </c>
      <c r="H72" s="12">
        <v>0</v>
      </c>
      <c r="I72" s="12">
        <v>743398</v>
      </c>
      <c r="J72" s="12">
        <v>0</v>
      </c>
      <c r="K72" s="12">
        <v>4418978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34358</v>
      </c>
      <c r="U72" s="13">
        <v>89421.017430000007</v>
      </c>
      <c r="V72" s="13">
        <v>5505</v>
      </c>
      <c r="W72" s="13">
        <v>19674.829890000001</v>
      </c>
      <c r="X72" s="13">
        <v>0</v>
      </c>
      <c r="Y72" s="13">
        <v>0</v>
      </c>
      <c r="Z72" s="13">
        <v>599454</v>
      </c>
      <c r="AA72" s="13">
        <v>2218661.26052</v>
      </c>
      <c r="AB72" s="13">
        <v>0</v>
      </c>
      <c r="AC72" s="13">
        <v>0</v>
      </c>
    </row>
    <row r="73" spans="1:29" x14ac:dyDescent="0.2">
      <c r="B73" s="10">
        <v>59</v>
      </c>
      <c r="C73" s="11" t="s">
        <v>91</v>
      </c>
      <c r="D73" s="12">
        <v>3</v>
      </c>
      <c r="E73" s="12">
        <v>2</v>
      </c>
      <c r="F73" s="12">
        <v>0</v>
      </c>
      <c r="G73" s="12">
        <v>0</v>
      </c>
      <c r="H73" s="12">
        <v>0</v>
      </c>
      <c r="I73" s="12">
        <v>19920</v>
      </c>
      <c r="J73" s="12">
        <v>120288</v>
      </c>
      <c r="K73" s="12">
        <v>4395099</v>
      </c>
      <c r="L73" s="13">
        <v>1708737</v>
      </c>
      <c r="M73" s="13">
        <v>854155.92220000003</v>
      </c>
      <c r="N73" s="13">
        <v>374996</v>
      </c>
      <c r="O73" s="13">
        <v>437225.89082000003</v>
      </c>
      <c r="P73" s="13">
        <v>0</v>
      </c>
      <c r="Q73" s="13">
        <v>0</v>
      </c>
      <c r="R73" s="13">
        <v>0</v>
      </c>
      <c r="S73" s="13">
        <v>0</v>
      </c>
      <c r="T73" s="13">
        <v>7745</v>
      </c>
      <c r="U73" s="13">
        <v>15374.25741</v>
      </c>
      <c r="V73" s="13">
        <v>23332</v>
      </c>
      <c r="W73" s="13">
        <v>98100.067169999995</v>
      </c>
      <c r="X73" s="13">
        <v>0</v>
      </c>
      <c r="Y73" s="13">
        <v>0</v>
      </c>
      <c r="Z73" s="13">
        <v>62427</v>
      </c>
      <c r="AA73" s="13">
        <v>342422.7</v>
      </c>
      <c r="AB73" s="13">
        <v>2436</v>
      </c>
      <c r="AC73" s="13">
        <v>9933.59</v>
      </c>
    </row>
    <row r="74" spans="1:29" x14ac:dyDescent="0.2">
      <c r="B74" s="10">
        <v>60</v>
      </c>
      <c r="C74" s="11" t="s">
        <v>92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38220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1450</v>
      </c>
      <c r="U74" s="13">
        <v>3375.4563800000001</v>
      </c>
      <c r="V74" s="13">
        <v>376</v>
      </c>
      <c r="W74" s="13">
        <v>4185.9553900000001</v>
      </c>
      <c r="X74" s="13">
        <v>0</v>
      </c>
      <c r="Y74" s="13">
        <v>0</v>
      </c>
      <c r="Z74" s="13">
        <v>12411</v>
      </c>
      <c r="AA74" s="13">
        <v>71021.11</v>
      </c>
      <c r="AB74" s="13">
        <v>0</v>
      </c>
      <c r="AC74" s="13">
        <v>0</v>
      </c>
    </row>
    <row r="75" spans="1:29" x14ac:dyDescent="0.2">
      <c r="B75" s="10">
        <v>61</v>
      </c>
      <c r="C75" s="11" t="s">
        <v>93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35869</v>
      </c>
      <c r="K75" s="12">
        <v>945880</v>
      </c>
      <c r="L75" s="13">
        <v>4843</v>
      </c>
      <c r="M75" s="13">
        <v>16054.60853</v>
      </c>
      <c r="N75" s="13">
        <v>14272</v>
      </c>
      <c r="O75" s="13">
        <v>31610.606550000106</v>
      </c>
      <c r="P75" s="13">
        <v>0</v>
      </c>
      <c r="Q75" s="13">
        <v>0</v>
      </c>
      <c r="R75" s="13">
        <v>24</v>
      </c>
      <c r="S75" s="13">
        <v>120.5</v>
      </c>
      <c r="T75" s="13">
        <v>6024</v>
      </c>
      <c r="U75" s="13">
        <v>14312.055</v>
      </c>
      <c r="V75" s="13">
        <v>1126</v>
      </c>
      <c r="W75" s="13">
        <v>8319.5939999999991</v>
      </c>
      <c r="X75" s="13">
        <v>0</v>
      </c>
      <c r="Y75" s="13">
        <v>0</v>
      </c>
      <c r="Z75" s="13">
        <v>74237</v>
      </c>
      <c r="AA75" s="13">
        <v>375235.435</v>
      </c>
      <c r="AB75" s="13">
        <v>0</v>
      </c>
      <c r="AC75" s="13">
        <v>0</v>
      </c>
    </row>
    <row r="76" spans="1:29" x14ac:dyDescent="0.2">
      <c r="B76" s="10">
        <v>62</v>
      </c>
      <c r="C76" s="11" t="s">
        <v>94</v>
      </c>
      <c r="D76" s="12">
        <v>609</v>
      </c>
      <c r="E76" s="12">
        <v>4</v>
      </c>
      <c r="F76" s="12">
        <v>0</v>
      </c>
      <c r="G76" s="12">
        <v>0</v>
      </c>
      <c r="H76" s="12">
        <v>0</v>
      </c>
      <c r="I76" s="12">
        <v>541610</v>
      </c>
      <c r="J76" s="12">
        <v>0</v>
      </c>
      <c r="K76" s="12">
        <v>6421541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109624</v>
      </c>
      <c r="U76" s="13">
        <v>281930.23967000004</v>
      </c>
      <c r="V76" s="13">
        <v>17549</v>
      </c>
      <c r="W76" s="13">
        <v>99929.518590000007</v>
      </c>
      <c r="X76" s="13">
        <v>0</v>
      </c>
      <c r="Y76" s="13">
        <v>0</v>
      </c>
      <c r="Z76" s="13">
        <v>2500513</v>
      </c>
      <c r="AA76" s="13">
        <v>12637470.422540002</v>
      </c>
      <c r="AB76" s="13">
        <v>0</v>
      </c>
      <c r="AC76" s="13">
        <v>0</v>
      </c>
    </row>
    <row r="77" spans="1:29" x14ac:dyDescent="0.2">
      <c r="B77" s="10">
        <v>63</v>
      </c>
      <c r="C77" s="11" t="s">
        <v>95</v>
      </c>
      <c r="D77" s="12">
        <v>187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150977</v>
      </c>
      <c r="K77" s="12">
        <v>117747</v>
      </c>
      <c r="L77" s="13">
        <v>24913</v>
      </c>
      <c r="M77" s="13">
        <v>78750.684210000007</v>
      </c>
      <c r="N77" s="13">
        <v>55113</v>
      </c>
      <c r="O77" s="13">
        <v>210636.37763999999</v>
      </c>
      <c r="P77" s="13">
        <v>0</v>
      </c>
      <c r="Q77" s="13">
        <v>0</v>
      </c>
      <c r="R77" s="13">
        <v>910</v>
      </c>
      <c r="S77" s="13">
        <v>3644.8</v>
      </c>
      <c r="T77" s="13">
        <v>7629</v>
      </c>
      <c r="U77" s="13">
        <v>20464.159649999998</v>
      </c>
      <c r="V77" s="13">
        <v>361</v>
      </c>
      <c r="W77" s="13">
        <v>3417.3308500000003</v>
      </c>
      <c r="X77" s="13">
        <v>0</v>
      </c>
      <c r="Y77" s="13">
        <v>0</v>
      </c>
      <c r="Z77" s="13">
        <v>35393</v>
      </c>
      <c r="AA77" s="13">
        <v>179251.3</v>
      </c>
      <c r="AB77" s="13">
        <v>0</v>
      </c>
      <c r="AC77" s="13">
        <v>0</v>
      </c>
    </row>
    <row r="78" spans="1:29" x14ac:dyDescent="0.2">
      <c r="B78" s="10">
        <v>64</v>
      </c>
      <c r="C78" s="11" t="s">
        <v>96</v>
      </c>
      <c r="D78" s="12">
        <v>365</v>
      </c>
      <c r="E78" s="12">
        <v>8</v>
      </c>
      <c r="F78" s="12">
        <v>0</v>
      </c>
      <c r="G78" s="12">
        <v>785</v>
      </c>
      <c r="H78" s="12">
        <v>0</v>
      </c>
      <c r="I78" s="12">
        <v>41288</v>
      </c>
      <c r="J78" s="12">
        <v>286887</v>
      </c>
      <c r="K78" s="12">
        <v>1426029</v>
      </c>
      <c r="L78" s="13">
        <v>16325</v>
      </c>
      <c r="M78" s="13">
        <v>27140.998840000004</v>
      </c>
      <c r="N78" s="13">
        <v>72482</v>
      </c>
      <c r="O78" s="13">
        <v>79842.595199999996</v>
      </c>
      <c r="P78" s="13">
        <v>2825520</v>
      </c>
      <c r="Q78" s="13">
        <v>743638.72366000002</v>
      </c>
      <c r="R78" s="13">
        <v>533</v>
      </c>
      <c r="S78" s="13">
        <v>776.9</v>
      </c>
      <c r="T78" s="13">
        <v>14910</v>
      </c>
      <c r="U78" s="13">
        <v>51609.969090000021</v>
      </c>
      <c r="V78" s="13">
        <v>4028</v>
      </c>
      <c r="W78" s="13">
        <v>31364.918260000002</v>
      </c>
      <c r="X78" s="13">
        <v>0</v>
      </c>
      <c r="Y78" s="13">
        <v>0</v>
      </c>
      <c r="Z78" s="13">
        <v>153876</v>
      </c>
      <c r="AA78" s="13">
        <v>1070213.3648399999</v>
      </c>
      <c r="AB78" s="13">
        <v>0</v>
      </c>
      <c r="AC78" s="13">
        <v>0</v>
      </c>
    </row>
    <row r="79" spans="1:29" s="40" customFormat="1" x14ac:dyDescent="0.2">
      <c r="A79" s="39"/>
      <c r="B79" s="22" t="s">
        <v>97</v>
      </c>
      <c r="C79" s="35"/>
      <c r="D79" s="23">
        <f t="shared" ref="D79:AC79" si="0">SUM(D11:D78)</f>
        <v>135004</v>
      </c>
      <c r="E79" s="23">
        <f t="shared" si="0"/>
        <v>73830</v>
      </c>
      <c r="F79" s="23">
        <f t="shared" si="0"/>
        <v>11664877</v>
      </c>
      <c r="G79" s="23">
        <f t="shared" si="0"/>
        <v>1389518</v>
      </c>
      <c r="H79" s="23">
        <f t="shared" si="0"/>
        <v>5897360</v>
      </c>
      <c r="I79" s="23">
        <f t="shared" si="0"/>
        <v>754203742</v>
      </c>
      <c r="J79" s="23">
        <f t="shared" si="0"/>
        <v>117704486</v>
      </c>
      <c r="K79" s="23">
        <f t="shared" si="0"/>
        <v>1041766655</v>
      </c>
      <c r="L79" s="23">
        <f t="shared" si="0"/>
        <v>243400333</v>
      </c>
      <c r="M79" s="23">
        <f t="shared" si="0"/>
        <v>674354049.57112968</v>
      </c>
      <c r="N79" s="23">
        <f t="shared" si="0"/>
        <v>247563894</v>
      </c>
      <c r="O79" s="23">
        <f t="shared" si="0"/>
        <v>1097808697.2812209</v>
      </c>
      <c r="P79" s="23">
        <f t="shared" si="0"/>
        <v>2831265</v>
      </c>
      <c r="Q79" s="23">
        <f t="shared" si="0"/>
        <v>757081.59058000008</v>
      </c>
      <c r="R79" s="23">
        <f t="shared" si="0"/>
        <v>635396</v>
      </c>
      <c r="S79" s="23">
        <f t="shared" si="0"/>
        <v>3642662.62433</v>
      </c>
      <c r="T79" s="23">
        <f t="shared" si="0"/>
        <v>68976589</v>
      </c>
      <c r="U79" s="23">
        <f t="shared" si="0"/>
        <v>218617996.05458</v>
      </c>
      <c r="V79" s="23">
        <f t="shared" si="0"/>
        <v>22661665</v>
      </c>
      <c r="W79" s="23">
        <f t="shared" si="0"/>
        <v>111099285.44747992</v>
      </c>
      <c r="X79" s="23">
        <f t="shared" si="0"/>
        <v>73930</v>
      </c>
      <c r="Y79" s="23">
        <f t="shared" si="0"/>
        <v>1628965.1451900001</v>
      </c>
      <c r="Z79" s="23">
        <f t="shared" si="0"/>
        <v>414511705</v>
      </c>
      <c r="AA79" s="23">
        <f t="shared" si="0"/>
        <v>2302417304.5449705</v>
      </c>
      <c r="AB79" s="23">
        <f t="shared" si="0"/>
        <v>10737</v>
      </c>
      <c r="AC79" s="23">
        <f t="shared" si="0"/>
        <v>16748.559400000002</v>
      </c>
    </row>
    <row r="80" spans="1:29" s="40" customFormat="1" x14ac:dyDescent="0.2">
      <c r="A80" s="39"/>
      <c r="B80" s="7"/>
      <c r="C80" s="35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 spans="1:30" x14ac:dyDescent="0.2">
      <c r="A81" s="41"/>
      <c r="B81" s="24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30" x14ac:dyDescent="0.2">
      <c r="A82" s="26"/>
      <c r="B82" s="27" t="s">
        <v>98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</row>
    <row r="83" spans="1:30" x14ac:dyDescent="0.2">
      <c r="A83" s="42"/>
      <c r="B83" s="27" t="s">
        <v>99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</row>
    <row r="84" spans="1:30" x14ac:dyDescent="0.2">
      <c r="A84" s="42"/>
      <c r="B84" s="27" t="s">
        <v>100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</row>
    <row r="85" spans="1:30" s="43" customFormat="1" x14ac:dyDescent="0.2">
      <c r="A85" s="42"/>
      <c r="B85" s="27" t="s">
        <v>101</v>
      </c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</row>
    <row r="86" spans="1:30" s="43" customFormat="1" x14ac:dyDescent="0.2">
      <c r="A86" s="42"/>
      <c r="B86" s="27" t="s">
        <v>102</v>
      </c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</row>
    <row r="87" spans="1:30" s="43" customFormat="1" x14ac:dyDescent="0.2">
      <c r="A87" s="42"/>
      <c r="B87" s="27" t="s">
        <v>103</v>
      </c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</row>
    <row r="88" spans="1:30" s="43" customFormat="1" x14ac:dyDescent="0.2">
      <c r="A88" s="42"/>
      <c r="B88" s="27" t="s">
        <v>104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</row>
    <row r="89" spans="1:30" s="43" customFormat="1" x14ac:dyDescent="0.2">
      <c r="A89" s="42"/>
      <c r="B89" s="27" t="s">
        <v>105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</row>
    <row r="90" spans="1:30" s="43" customFormat="1" x14ac:dyDescent="0.2">
      <c r="A90" s="42"/>
      <c r="B90" s="27" t="s">
        <v>106</v>
      </c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</row>
    <row r="91" spans="1:30" s="43" customFormat="1" x14ac:dyDescent="0.2">
      <c r="A91" s="42"/>
      <c r="B91" s="27" t="s">
        <v>107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8"/>
    </row>
    <row r="92" spans="1:30" s="43" customFormat="1" x14ac:dyDescent="0.2">
      <c r="A92" s="42"/>
      <c r="B92" s="27" t="s">
        <v>108</v>
      </c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 spans="1:30" s="43" customFormat="1" x14ac:dyDescent="0.2">
      <c r="A93" s="42"/>
      <c r="B93" s="27" t="s">
        <v>109</v>
      </c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8"/>
    </row>
    <row r="94" spans="1:30" s="43" customFormat="1" x14ac:dyDescent="0.2">
      <c r="A94" s="42"/>
      <c r="B94" s="27" t="s">
        <v>110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</row>
    <row r="95" spans="1:30" s="43" customFormat="1" x14ac:dyDescent="0.2">
      <c r="A95" s="42"/>
      <c r="B95" s="27" t="s">
        <v>111</v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</row>
    <row r="96" spans="1:30" s="43" customFormat="1" x14ac:dyDescent="0.2">
      <c r="A96" s="42"/>
      <c r="B96" s="27" t="s">
        <v>112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</row>
    <row r="97" spans="1:31" s="43" customFormat="1" x14ac:dyDescent="0.2">
      <c r="A97" s="42"/>
      <c r="B97" s="27" t="s">
        <v>113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</row>
    <row r="98" spans="1:31" s="43" customFormat="1" x14ac:dyDescent="0.2">
      <c r="A98" s="42"/>
      <c r="B98" s="27" t="s">
        <v>114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 spans="1:31" s="43" customFormat="1" x14ac:dyDescent="0.2">
      <c r="A99" s="42"/>
      <c r="B99" s="27" t="s">
        <v>115</v>
      </c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</row>
    <row r="100" spans="1:31" s="43" customFormat="1" x14ac:dyDescent="0.2">
      <c r="A100" s="42"/>
      <c r="B100" s="27" t="s">
        <v>116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</row>
    <row r="101" spans="1:31" s="43" customFormat="1" x14ac:dyDescent="0.2">
      <c r="A101" s="42"/>
      <c r="B101" s="27" t="s">
        <v>117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</row>
    <row r="102" spans="1:31" s="43" customFormat="1" x14ac:dyDescent="0.2">
      <c r="A102" s="29"/>
      <c r="B102" s="27" t="s">
        <v>118</v>
      </c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30"/>
      <c r="AE102" s="30"/>
    </row>
    <row r="103" spans="1:31" s="43" customFormat="1" x14ac:dyDescent="0.2">
      <c r="A103" s="42"/>
      <c r="B103" s="27" t="s">
        <v>119</v>
      </c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</row>
    <row r="104" spans="1:31" s="43" customFormat="1" x14ac:dyDescent="0.2">
      <c r="A104" s="42"/>
      <c r="B104" s="27" t="s">
        <v>120</v>
      </c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</row>
    <row r="105" spans="1:31" s="43" customFormat="1" x14ac:dyDescent="0.2">
      <c r="A105" s="42"/>
      <c r="B105" s="27" t="s">
        <v>121</v>
      </c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</row>
    <row r="106" spans="1:31" s="43" customFormat="1" x14ac:dyDescent="0.2">
      <c r="A106" s="42"/>
      <c r="B106" s="27" t="s">
        <v>122</v>
      </c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</row>
    <row r="107" spans="1:31" s="43" customFormat="1" x14ac:dyDescent="0.2">
      <c r="A107" s="42"/>
      <c r="B107" s="27" t="s">
        <v>123</v>
      </c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</row>
    <row r="108" spans="1:31" s="43" customFormat="1" x14ac:dyDescent="0.2">
      <c r="A108" s="42"/>
      <c r="B108" s="27" t="s">
        <v>124</v>
      </c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</row>
  </sheetData>
  <mergeCells count="55">
    <mergeCell ref="B108:AC108"/>
    <mergeCell ref="B91:AC91"/>
    <mergeCell ref="B104:AC104"/>
    <mergeCell ref="B105:AC105"/>
    <mergeCell ref="B106:AC106"/>
    <mergeCell ref="B107:AC107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  <mergeCell ref="AB6:AC6"/>
    <mergeCell ref="B82:AC82"/>
    <mergeCell ref="B83:AC83"/>
    <mergeCell ref="B84:AC84"/>
    <mergeCell ref="B90:AC90"/>
    <mergeCell ref="B86:AC86"/>
    <mergeCell ref="B87:AC87"/>
    <mergeCell ref="B88:AC88"/>
    <mergeCell ref="B89:AC89"/>
    <mergeCell ref="R6:S6"/>
    <mergeCell ref="T6:U6"/>
    <mergeCell ref="V6:W6"/>
    <mergeCell ref="X6:Y6"/>
    <mergeCell ref="B85:AC85"/>
    <mergeCell ref="G5:G7"/>
    <mergeCell ref="H5:H7"/>
    <mergeCell ref="I5:I7"/>
    <mergeCell ref="J5:J7"/>
    <mergeCell ref="K5:K7"/>
    <mergeCell ref="L5:Q5"/>
    <mergeCell ref="Z6:AA6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N6:O6"/>
    <mergeCell ref="P6:Q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Website February 2026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Manish</cp:lastModifiedBy>
  <dcterms:created xsi:type="dcterms:W3CDTF">2026-03-17T04:35:09Z</dcterms:created>
  <dcterms:modified xsi:type="dcterms:W3CDTF">2026-03-23T07:56:17Z</dcterms:modified>
</cp:coreProperties>
</file>