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itin Bhoir\2026\Sep.,2026\24.09.2026\Interim Card Statistics for Website- August 2026\Eng\"/>
    </mc:Choice>
  </mc:AlternateContent>
  <xr:revisionPtr revIDLastSave="0" documentId="13_ncr:1_{524DF708-3D81-4DAE-8B54-570BCA282292}" xr6:coauthVersionLast="47" xr6:coauthVersionMax="47" xr10:uidLastSave="{00000000-0000-0000-0000-000000000000}"/>
  <bookViews>
    <workbookView xWindow="-120" yWindow="-120" windowWidth="29040" windowHeight="15720" xr2:uid="{3B5EF387-E176-46AB-810C-FBDE647673A9}"/>
  </bookViews>
  <sheets>
    <sheet name="August 2026" sheetId="1" r:id="rId1"/>
  </sheets>
  <definedNames>
    <definedName name="_xlnm._FilterDatabase" localSheetId="0" hidden="1">'August 2026'!$D$8:$AC$78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78" i="1" l="1"/>
  <c r="N78" i="1"/>
  <c r="G78" i="1"/>
  <c r="E78" i="1"/>
  <c r="D78" i="1"/>
  <c r="R78" i="1"/>
  <c r="Q78" i="1"/>
  <c r="P78" i="1"/>
  <c r="AC78" i="1"/>
  <c r="AB78" i="1"/>
  <c r="AA78" i="1"/>
  <c r="Z78" i="1"/>
  <c r="Y78" i="1"/>
  <c r="X78" i="1"/>
  <c r="W78" i="1"/>
  <c r="V78" i="1"/>
  <c r="U78" i="1"/>
  <c r="T78" i="1"/>
  <c r="S78" i="1"/>
  <c r="M78" i="1"/>
  <c r="L78" i="1"/>
  <c r="K78" i="1"/>
  <c r="J78" i="1"/>
  <c r="I78" i="1"/>
  <c r="H78" i="1"/>
  <c r="F78" i="1"/>
</calcChain>
</file>

<file path=xl/sharedStrings.xml><?xml version="1.0" encoding="utf-8"?>
<sst xmlns="http://schemas.openxmlformats.org/spreadsheetml/2006/main" count="147" uniqueCount="125">
  <si>
    <t>ATM, Acceptance Infrastructure and Card Statistics for the Month of August 2026</t>
  </si>
  <si>
    <t>Sr. No.</t>
  </si>
  <si>
    <t>Bank Name</t>
  </si>
  <si>
    <t xml:space="preserve">Infrastructure </t>
  </si>
  <si>
    <t>Card Payments and Cash Withdrawal Transactions during the month</t>
  </si>
  <si>
    <t>Number - Outstanding (as on month end)</t>
  </si>
  <si>
    <t>Credit Card</t>
  </si>
  <si>
    <t>Debit Card</t>
  </si>
  <si>
    <t>ATMs &amp; CRMs</t>
  </si>
  <si>
    <t>PoS</t>
  </si>
  <si>
    <t>Micro ATMs</t>
  </si>
  <si>
    <t>Bharat QR Codes</t>
  </si>
  <si>
    <t>UPI QR Codes</t>
  </si>
  <si>
    <t>Credit Cards</t>
  </si>
  <si>
    <t>Debit Cards</t>
  </si>
  <si>
    <t>Card Payments Transactions</t>
  </si>
  <si>
    <t>Cash Withdrawal</t>
  </si>
  <si>
    <t>at PoS</t>
  </si>
  <si>
    <t>Online (e-com)</t>
  </si>
  <si>
    <t>Others</t>
  </si>
  <si>
    <t>At ATM</t>
  </si>
  <si>
    <t>ATM</t>
  </si>
  <si>
    <t>On-site</t>
  </si>
  <si>
    <t>Off-site</t>
  </si>
  <si>
    <t>Volume (in actuals)</t>
  </si>
  <si>
    <t>Value (in Rs'000)</t>
  </si>
  <si>
    <t>Scheduled Commercial Banks</t>
  </si>
  <si>
    <t>Public Sector Banks</t>
  </si>
  <si>
    <t>BANK OF BARODA</t>
  </si>
  <si>
    <t>BANK OF INDIA</t>
  </si>
  <si>
    <t>BANK OF MAHARASHTRA</t>
  </si>
  <si>
    <t>CANARA BANK</t>
  </si>
  <si>
    <t>CENTRAL BANK OF INDIA</t>
  </si>
  <si>
    <t>INDIAN BANK</t>
  </si>
  <si>
    <t>INDIAN OVERSEAS BANK</t>
  </si>
  <si>
    <t>PUNJAB AND SIND BANK</t>
  </si>
  <si>
    <t>PUNJAB NATIONAL BANK</t>
  </si>
  <si>
    <t>STATE BANK OF INDIA</t>
  </si>
  <si>
    <t>UCO BANK</t>
  </si>
  <si>
    <t>UNION BANK OF INDIA</t>
  </si>
  <si>
    <t>Private Sector Banks</t>
  </si>
  <si>
    <t>AXIS BANK LTD</t>
  </si>
  <si>
    <t>BANDHAN BANK LTD</t>
  </si>
  <si>
    <t>CITY UNION BANK LTD.</t>
  </si>
  <si>
    <t>CSB BANK LTD.</t>
  </si>
  <si>
    <t>DCB BANK LTD</t>
  </si>
  <si>
    <t>DHANALAXMI BANK LTD</t>
  </si>
  <si>
    <t>FEDERAL BANK LTD</t>
  </si>
  <si>
    <t>HDFC BANK LTD</t>
  </si>
  <si>
    <t>ICICI BANK LTD</t>
  </si>
  <si>
    <t>IDBI BANK LTD</t>
  </si>
  <si>
    <t>IDFC FIRST BANK LTD</t>
  </si>
  <si>
    <t>INDUSIND BANK LTD</t>
  </si>
  <si>
    <t>JAMMU AND KASHMIR BANK LTD</t>
  </si>
  <si>
    <t>KARNATAKA BANK LTD</t>
  </si>
  <si>
    <t>KARUR VYSYA BANK LTD</t>
  </si>
  <si>
    <t>KOTAK MAHINDRA BANK LTD</t>
  </si>
  <si>
    <t>NAINITAL BANK LTD</t>
  </si>
  <si>
    <t>RBL BANK LTD</t>
  </si>
  <si>
    <t>SOUTH INDIAN BANK</t>
  </si>
  <si>
    <t>TAMILNAD MERCANTILE BANK LTD</t>
  </si>
  <si>
    <t>YES BANK LTD</t>
  </si>
  <si>
    <t>Foreign Banks</t>
  </si>
  <si>
    <t>AMERICAN EXPRESS BANKING CORPORATION</t>
  </si>
  <si>
    <t>BANK OF AMERICA</t>
  </si>
  <si>
    <t>BANK OF BAHRAIN &amp; KUWAIT B.S.C.</t>
  </si>
  <si>
    <t>BARCLAYS BANK PLC</t>
  </si>
  <si>
    <t>CITI BANK</t>
  </si>
  <si>
    <t>DBS INDIA BANK LTD</t>
  </si>
  <si>
    <t>DEUTSCHE BANK LTD</t>
  </si>
  <si>
    <t>DOHA BANK Q.P.S.C.</t>
  </si>
  <si>
    <t>HSBC LTD</t>
  </si>
  <si>
    <t>KEB HANA BANK</t>
  </si>
  <si>
    <t>KOOKMIN BANK</t>
  </si>
  <si>
    <t xml:space="preserve"> </t>
  </si>
  <si>
    <t>SBM BANK INDIA LTD</t>
  </si>
  <si>
    <t>STANDARD CHARTERED BANK LTD</t>
  </si>
  <si>
    <t>WOORI BANK</t>
  </si>
  <si>
    <t>Payment Banks</t>
  </si>
  <si>
    <t>AIRTEL PAYMENTS BANK</t>
  </si>
  <si>
    <t>FINO PAYMENTS BANK</t>
  </si>
  <si>
    <t>INDIA POST PAYMENTS BANK</t>
  </si>
  <si>
    <t xml:space="preserve">JIO PAYMENTS BANK </t>
  </si>
  <si>
    <t>NSDL PAYMENTS BANK</t>
  </si>
  <si>
    <t>Small Finance Banks</t>
  </si>
  <si>
    <t>AU SMALL FINANCE BANK LTD</t>
  </si>
  <si>
    <t>CAPITAL SMALL FINANCE BANK LTD</t>
  </si>
  <si>
    <t>EQUITAS SMALL FINANCE BANK LTD</t>
  </si>
  <si>
    <t>ESAF SMALL FINANCE BANK LTD</t>
  </si>
  <si>
    <t>JANA SMALL FINANCE BANK LTD</t>
  </si>
  <si>
    <t>SLICE SMALL FINANCE BANK LTD</t>
  </si>
  <si>
    <t>SHIVALIK SMALL FINANCE BANK LTD</t>
  </si>
  <si>
    <t>SURYODAY SMALL FINANCE BANK LTD</t>
  </si>
  <si>
    <t>UJJIVAN SMALL FINANCE BANK LTD</t>
  </si>
  <si>
    <t>UNITY SMALL FINANCE BANK LTD</t>
  </si>
  <si>
    <t>UTKARSH SMALL FINANCE BANK LTD</t>
  </si>
  <si>
    <t>Total</t>
  </si>
  <si>
    <t>Note</t>
  </si>
  <si>
    <t>The data is provisional</t>
  </si>
  <si>
    <t>Total number of ATMs &amp; CRMs deployed on-site by the bank</t>
  </si>
  <si>
    <t>Total number of ATMs &amp; CRMs deployed off-site by the bank</t>
  </si>
  <si>
    <t>Total number of PoS terminals deployed by the bank</t>
  </si>
  <si>
    <t>Total number of Micro ATMs deployed by the bank</t>
  </si>
  <si>
    <t>Total number of Bharat QR Codes deployed by the bank</t>
  </si>
  <si>
    <t>Total number of UPI QR Codes deployed by the bank</t>
  </si>
  <si>
    <t>Total number of credit cards issued outstanding (after adjusting the number of cards withdrawan/cancelled)</t>
  </si>
  <si>
    <t>Total number of debit cards issued outstanding (after adjusting the number of cards withdrawan/cancelled)</t>
  </si>
  <si>
    <t>Total number of financial transactions done by the credit card issued by the bank at PoS terminals</t>
  </si>
  <si>
    <t>Total value of financial transactions done by the credit card issued by the bank at PoS terminals</t>
  </si>
  <si>
    <t>Total number of financial transactions done by the credit card issued by the bank at online and e-commerce sites</t>
  </si>
  <si>
    <t>Total value of financial transactions done by the credit card issued by the bank at online and e-commerce sites</t>
  </si>
  <si>
    <t>Total number of other financial transactions done by the credit card issued by the bank (example: Mail-Order and Tele-Order transactions)</t>
  </si>
  <si>
    <t>Total value of other financial transactions done by the credit card issued by the bank (example: Mail-Order and Tele-Order transactions)</t>
  </si>
  <si>
    <t>Total number of cash withdrawal transactions done by the credit card issued by the bank at ATMs</t>
  </si>
  <si>
    <t>Total value of cash withdrawal transactions done by the credit card issued by the bank at ATMs</t>
  </si>
  <si>
    <t>Total number of financial transactions done by the debit card issued by the bank at PoS terminals</t>
  </si>
  <si>
    <t>Total value of financial transactions done by the debit card issued by the bank at PoS terminals</t>
  </si>
  <si>
    <t>Total number of financial transactions done by the debit card issued by the bank at online and e-commerce sites</t>
  </si>
  <si>
    <t>Total value of financial transactions done by the debit card issued by the bank at online and e-commerce sites</t>
  </si>
  <si>
    <t>Total number of other financial transactions done by the debit card issued by the bank (example: debit card transactions done at ATMs viz card to card transactions, Bill Payments, Credit Card Payments, Mobile Recharge etc)</t>
  </si>
  <si>
    <t>Total value of other financial transactions done by the debit card issued by the bank (example: debit card transactions done at ATMs viz card to card transactions, Bill Payments, Credit Card Payments, Mobile Recharge etc)</t>
  </si>
  <si>
    <t>Total number of cash withdrawal transactions done by the debit card issued by the bank at ATMs</t>
  </si>
  <si>
    <t>Total value of cash withdrawal transactions done by the debit card issued by the bank at ATMs</t>
  </si>
  <si>
    <t>Total number of cash withdrawal transactions done by the debit card issued by the bank at PoS terminals</t>
  </si>
  <si>
    <t>Total value of cash withdrawal transactions done by the debit card issued by the bank at PoS terminals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</si>
</sst>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1"/>
      <name val="Calibri"/>
      <family val="2"/>
      <scheme val="minor"/>
    </font>
    <font>
      <sz val="10"/>
      <color theme="1"/>
      <name val="Arial"/>
      <family val="2"/>
    </font>
    <font>
      <b/>
      <sz val="10"/>
      <color indexed="8"/>
      <name val="Arial"/>
      <family val="2"/>
    </font>
    <font>
      <sz val="11"/>
      <name val="Calibri"/>
      <family val="2"/>
      <scheme val="minor"/>
    </font>
    <font>
      <sz val="10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4" fillId="0" borderId="0"/>
    <xf numFmtId="0" fontId="1" fillId="0" borderId="0"/>
  </cellStyleXfs>
  <cellXfs count="45">
    <xf numFmtId="0" fontId="0" fillId="0" borderId="0" xfId="0"/>
    <xf numFmtId="0" fontId="0" fillId="2" borderId="0" xfId="0" applyFill="1"/>
    <xf numFmtId="0" fontId="0" fillId="2" borderId="0" xfId="0" applyFill="1" applyAlignment="1">
      <alignment horizontal="left"/>
    </xf>
    <xf numFmtId="0" fontId="9" fillId="2" borderId="1" xfId="1" applyFont="1" applyFill="1" applyBorder="1" applyAlignment="1" applyProtection="1">
      <alignment horizontal="left" vertical="center" wrapText="1"/>
      <protection locked="0"/>
    </xf>
    <xf numFmtId="0" fontId="11" fillId="2" borderId="0" xfId="1" applyFont="1" applyFill="1" applyBorder="1" applyAlignment="1">
      <alignment horizontal="left" vertical="center" wrapText="1"/>
    </xf>
    <xf numFmtId="0" fontId="11" fillId="2" borderId="0" xfId="1" applyFont="1" applyFill="1" applyBorder="1" applyAlignment="1">
      <alignment vertical="center" wrapText="1"/>
    </xf>
    <xf numFmtId="0" fontId="5" fillId="2" borderId="2" xfId="1" applyFont="1" applyFill="1" applyBorder="1" applyAlignment="1" applyProtection="1">
      <alignment horizontal="center" vertical="center"/>
      <protection locked="0"/>
    </xf>
    <xf numFmtId="0" fontId="6" fillId="2" borderId="2" xfId="0" applyFont="1" applyFill="1" applyBorder="1" applyAlignment="1" applyProtection="1">
      <alignment horizontal="center" vertical="center"/>
      <protection locked="0"/>
    </xf>
    <xf numFmtId="0" fontId="5" fillId="2" borderId="2" xfId="1" applyFont="1" applyFill="1" applyBorder="1" applyAlignment="1" applyProtection="1">
      <alignment horizontal="center" vertical="center" wrapText="1"/>
      <protection locked="0"/>
    </xf>
    <xf numFmtId="0" fontId="5" fillId="2" borderId="2" xfId="1" applyFont="1" applyFill="1" applyBorder="1" applyAlignment="1" applyProtection="1">
      <alignment horizontal="center" vertical="center"/>
      <protection locked="0"/>
    </xf>
    <xf numFmtId="0" fontId="5" fillId="2" borderId="2" xfId="1" applyFont="1" applyFill="1" applyBorder="1" applyAlignment="1" applyProtection="1">
      <alignment horizontal="center" vertical="center" wrapText="1"/>
      <protection locked="0"/>
    </xf>
    <xf numFmtId="0" fontId="7" fillId="2" borderId="2" xfId="2" applyFont="1" applyFill="1" applyBorder="1" applyAlignment="1" applyProtection="1">
      <alignment horizontal="center" vertical="center" wrapText="1"/>
      <protection locked="0"/>
    </xf>
    <xf numFmtId="0" fontId="5" fillId="2" borderId="2" xfId="1" applyFont="1" applyFill="1" applyBorder="1" applyAlignment="1" applyProtection="1">
      <alignment vertical="center"/>
      <protection locked="0"/>
    </xf>
    <xf numFmtId="0" fontId="6" fillId="2" borderId="2" xfId="0" applyFont="1" applyFill="1" applyBorder="1" applyAlignment="1" applyProtection="1">
      <alignment vertical="center"/>
      <protection locked="0"/>
    </xf>
    <xf numFmtId="0" fontId="6" fillId="2" borderId="2" xfId="0" applyFont="1" applyFill="1" applyBorder="1" applyAlignment="1">
      <alignment horizontal="right" vertical="center"/>
    </xf>
    <xf numFmtId="0" fontId="6" fillId="2" borderId="2" xfId="0" applyFont="1" applyFill="1" applyBorder="1" applyAlignment="1">
      <alignment vertical="center"/>
    </xf>
    <xf numFmtId="0" fontId="0" fillId="2" borderId="2" xfId="0" applyFill="1" applyBorder="1" applyProtection="1">
      <protection locked="0"/>
    </xf>
    <xf numFmtId="0" fontId="4" fillId="2" borderId="2" xfId="0" applyFont="1" applyFill="1" applyBorder="1" applyAlignment="1" applyProtection="1">
      <alignment horizontal="left"/>
      <protection locked="0"/>
    </xf>
    <xf numFmtId="0" fontId="4" fillId="2" borderId="2" xfId="0" applyFont="1" applyFill="1" applyBorder="1" applyAlignment="1">
      <alignment horizontal="right"/>
    </xf>
    <xf numFmtId="1" fontId="8" fillId="2" borderId="2" xfId="0" applyNumberFormat="1" applyFont="1" applyFill="1" applyBorder="1"/>
    <xf numFmtId="0" fontId="8" fillId="2" borderId="2" xfId="0" applyFont="1" applyFill="1" applyBorder="1" applyAlignment="1" applyProtection="1">
      <alignment horizontal="left"/>
      <protection locked="0"/>
    </xf>
    <xf numFmtId="0" fontId="8" fillId="2" borderId="2" xfId="0" applyFont="1" applyFill="1" applyBorder="1" applyAlignment="1">
      <alignment horizontal="right"/>
    </xf>
    <xf numFmtId="0" fontId="4" fillId="2" borderId="2" xfId="0" applyFont="1" applyFill="1" applyBorder="1" applyAlignment="1" applyProtection="1">
      <alignment horizontal="left" vertical="center"/>
      <protection locked="0"/>
    </xf>
    <xf numFmtId="0" fontId="4" fillId="2" borderId="2" xfId="0" applyFont="1" applyFill="1" applyBorder="1" applyAlignment="1">
      <alignment horizontal="right" vertical="top"/>
    </xf>
    <xf numFmtId="1" fontId="8" fillId="2" borderId="2" xfId="0" applyNumberFormat="1" applyFont="1" applyFill="1" applyBorder="1" applyAlignment="1">
      <alignment vertical="top"/>
    </xf>
    <xf numFmtId="1" fontId="6" fillId="2" borderId="2" xfId="0" applyNumberFormat="1" applyFont="1" applyFill="1" applyBorder="1" applyAlignment="1" applyProtection="1">
      <alignment horizontal="right" vertical="center"/>
    </xf>
    <xf numFmtId="0" fontId="9" fillId="2" borderId="2" xfId="1" applyFont="1" applyFill="1" applyBorder="1" applyAlignment="1" applyProtection="1">
      <alignment vertical="center" wrapText="1"/>
      <protection locked="0"/>
    </xf>
    <xf numFmtId="164" fontId="9" fillId="2" borderId="2" xfId="1" applyNumberFormat="1" applyFont="1" applyFill="1" applyBorder="1" applyAlignment="1" applyProtection="1">
      <alignment horizontal="right" vertical="center" wrapText="1"/>
      <protection locked="0"/>
    </xf>
    <xf numFmtId="0" fontId="4" fillId="2" borderId="2" xfId="1" applyFont="1" applyFill="1" applyBorder="1" applyAlignment="1" applyProtection="1">
      <alignment horizontal="left" vertical="center" wrapText="1"/>
      <protection locked="0"/>
    </xf>
    <xf numFmtId="0" fontId="4" fillId="2" borderId="1" xfId="1" applyFont="1" applyFill="1" applyBorder="1" applyAlignment="1" applyProtection="1">
      <alignment horizontal="center" vertical="center" wrapText="1"/>
      <protection locked="0"/>
    </xf>
    <xf numFmtId="0" fontId="4" fillId="2" borderId="2" xfId="0" applyFont="1" applyFill="1" applyBorder="1" applyAlignment="1" applyProtection="1">
      <alignment horizontal="center"/>
      <protection locked="0"/>
    </xf>
    <xf numFmtId="0" fontId="4" fillId="2" borderId="2" xfId="0" applyFont="1" applyFill="1" applyBorder="1" applyAlignment="1" applyProtection="1">
      <alignment horizontal="center" vertical="top"/>
      <protection locked="0"/>
    </xf>
    <xf numFmtId="0" fontId="0" fillId="2" borderId="0" xfId="0" applyFill="1" applyAlignment="1">
      <alignment horizontal="right"/>
    </xf>
    <xf numFmtId="0" fontId="0" fillId="2" borderId="0" xfId="0" applyFill="1" applyAlignment="1">
      <alignment horizontal="left" vertical="center"/>
    </xf>
    <xf numFmtId="0" fontId="0" fillId="2" borderId="0" xfId="0" applyFill="1" applyAlignment="1">
      <alignment vertical="center"/>
    </xf>
    <xf numFmtId="0" fontId="8" fillId="2" borderId="0" xfId="0" applyFont="1" applyFill="1" applyAlignment="1">
      <alignment horizontal="left"/>
    </xf>
    <xf numFmtId="0" fontId="8" fillId="2" borderId="0" xfId="0" applyFont="1" applyFill="1"/>
    <xf numFmtId="0" fontId="0" fillId="2" borderId="2" xfId="0" applyFill="1" applyBorder="1" applyAlignment="1">
      <alignment horizontal="right"/>
    </xf>
    <xf numFmtId="0" fontId="0" fillId="2" borderId="0" xfId="0" applyFill="1" applyAlignment="1">
      <alignment horizontal="left" vertical="top"/>
    </xf>
    <xf numFmtId="0" fontId="0" fillId="2" borderId="0" xfId="0" applyFill="1" applyAlignment="1">
      <alignment vertical="top"/>
    </xf>
    <xf numFmtId="0" fontId="3" fillId="2" borderId="0" xfId="0" applyFont="1" applyFill="1" applyAlignment="1" applyProtection="1">
      <alignment horizontal="left"/>
      <protection locked="0"/>
    </xf>
    <xf numFmtId="0" fontId="3" fillId="2" borderId="0" xfId="0" applyFont="1" applyFill="1"/>
    <xf numFmtId="0" fontId="0" fillId="2" borderId="0" xfId="0" applyFill="1" applyAlignment="1" applyProtection="1">
      <alignment horizontal="left"/>
      <protection locked="0"/>
    </xf>
    <xf numFmtId="0" fontId="10" fillId="2" borderId="1" xfId="0" applyFont="1" applyFill="1" applyBorder="1" applyAlignment="1" applyProtection="1">
      <alignment horizontal="center"/>
      <protection locked="0"/>
    </xf>
    <xf numFmtId="0" fontId="2" fillId="2" borderId="0" xfId="0" applyFont="1" applyFill="1"/>
  </cellXfs>
  <cellStyles count="3">
    <cellStyle name="Normal" xfId="0" builtinId="0"/>
    <cellStyle name="Normal 2 10" xfId="2" xr:uid="{B6E6B1DD-00BA-4F7D-8F0E-F623CC537790}"/>
    <cellStyle name="Normal 2 2" xfId="1" xr:uid="{A400DDFD-7675-4300-AFEE-40AF1B29A13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7AC2C0-6010-4B30-91DD-CF96C8E85FC0}">
  <dimension ref="A1:AE107"/>
  <sheetViews>
    <sheetView tabSelected="1" zoomScaleNormal="100" workbookViewId="0">
      <pane xSplit="3" ySplit="8" topLeftCell="D9" activePane="bottomRight" state="frozen"/>
      <selection activeCell="C49" sqref="C49:AE49"/>
      <selection pane="topRight" activeCell="C49" sqref="C49:AE49"/>
      <selection pane="bottomLeft" activeCell="C49" sqref="C49:AE49"/>
      <selection pane="bottomRight" activeCell="A2" sqref="A2"/>
    </sheetView>
  </sheetViews>
  <sheetFormatPr defaultColWidth="8.85546875" defaultRowHeight="15" x14ac:dyDescent="0.25"/>
  <cols>
    <col min="1" max="1" width="5.140625" style="2" bestFit="1" customWidth="1"/>
    <col min="2" max="2" width="8.7109375" style="1" customWidth="1"/>
    <col min="3" max="3" width="44" style="1" bestFit="1" customWidth="1"/>
    <col min="4" max="4" width="9.42578125" style="32" customWidth="1"/>
    <col min="5" max="5" width="9.28515625" style="32" customWidth="1"/>
    <col min="6" max="6" width="9.7109375" style="1" customWidth="1"/>
    <col min="7" max="7" width="9.28515625" style="1" customWidth="1"/>
    <col min="8" max="8" width="10.42578125" style="1" customWidth="1"/>
    <col min="9" max="9" width="11.5703125" style="1" customWidth="1"/>
    <col min="10" max="10" width="11" style="1" customWidth="1"/>
    <col min="11" max="11" width="10.7109375" style="1" customWidth="1"/>
    <col min="12" max="12" width="10.28515625" style="1" bestFit="1" customWidth="1"/>
    <col min="13" max="13" width="12" style="1" bestFit="1" customWidth="1"/>
    <col min="14" max="14" width="10" style="1" bestFit="1" customWidth="1"/>
    <col min="15" max="15" width="12" style="1" bestFit="1" customWidth="1"/>
    <col min="16" max="16" width="10.7109375" style="1" customWidth="1"/>
    <col min="17" max="17" width="10" style="1" bestFit="1" customWidth="1"/>
    <col min="18" max="18" width="10" style="1" customWidth="1"/>
    <col min="19" max="19" width="12" style="1" bestFit="1" customWidth="1"/>
    <col min="20" max="20" width="10" style="1" bestFit="1" customWidth="1"/>
    <col min="21" max="23" width="12" style="1" bestFit="1" customWidth="1"/>
    <col min="24" max="24" width="10.85546875" style="1" customWidth="1"/>
    <col min="25" max="25" width="12" style="1" bestFit="1" customWidth="1"/>
    <col min="26" max="26" width="10" style="1" bestFit="1" customWidth="1"/>
    <col min="27" max="27" width="11" style="1" bestFit="1" customWidth="1"/>
    <col min="28" max="28" width="10.140625" style="1" customWidth="1"/>
    <col min="29" max="29" width="12" style="1" bestFit="1" customWidth="1"/>
    <col min="30" max="30" width="12.28515625" style="1" customWidth="1"/>
    <col min="31" max="16384" width="8.85546875" style="1"/>
  </cols>
  <sheetData>
    <row r="1" spans="1:29" ht="15.75" thickBot="1" x14ac:dyDescent="0.3"/>
    <row r="2" spans="1:29" ht="15.75" thickBot="1" x14ac:dyDescent="0.3">
      <c r="B2" s="6" t="s">
        <v>0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</row>
    <row r="3" spans="1:29" ht="15.75" thickBot="1" x14ac:dyDescent="0.3">
      <c r="B3" s="6" t="s">
        <v>1</v>
      </c>
      <c r="C3" s="6" t="s">
        <v>2</v>
      </c>
      <c r="D3" s="7" t="s">
        <v>3</v>
      </c>
      <c r="E3" s="7"/>
      <c r="F3" s="7"/>
      <c r="G3" s="7"/>
      <c r="H3" s="7"/>
      <c r="I3" s="7"/>
      <c r="J3" s="7"/>
      <c r="K3" s="7"/>
      <c r="L3" s="6" t="s">
        <v>4</v>
      </c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</row>
    <row r="4" spans="1:29" ht="15.75" thickBot="1" x14ac:dyDescent="0.3">
      <c r="B4" s="6"/>
      <c r="C4" s="6"/>
      <c r="D4" s="8" t="s">
        <v>5</v>
      </c>
      <c r="E4" s="8"/>
      <c r="F4" s="8"/>
      <c r="G4" s="8"/>
      <c r="H4" s="8"/>
      <c r="I4" s="8"/>
      <c r="J4" s="8"/>
      <c r="K4" s="8"/>
      <c r="L4" s="6" t="s">
        <v>6</v>
      </c>
      <c r="M4" s="6"/>
      <c r="N4" s="6"/>
      <c r="O4" s="6"/>
      <c r="P4" s="6"/>
      <c r="Q4" s="6"/>
      <c r="R4" s="6"/>
      <c r="S4" s="6"/>
      <c r="T4" s="6" t="s">
        <v>7</v>
      </c>
      <c r="U4" s="6"/>
      <c r="V4" s="6"/>
      <c r="W4" s="6"/>
      <c r="X4" s="6"/>
      <c r="Y4" s="6"/>
      <c r="Z4" s="6"/>
      <c r="AA4" s="6"/>
      <c r="AB4" s="6"/>
      <c r="AC4" s="6"/>
    </row>
    <row r="5" spans="1:29" ht="15.75" thickBot="1" x14ac:dyDescent="0.3">
      <c r="B5" s="6"/>
      <c r="C5" s="6"/>
      <c r="D5" s="8" t="s">
        <v>8</v>
      </c>
      <c r="E5" s="8"/>
      <c r="F5" s="8" t="s">
        <v>9</v>
      </c>
      <c r="G5" s="8" t="s">
        <v>10</v>
      </c>
      <c r="H5" s="8" t="s">
        <v>11</v>
      </c>
      <c r="I5" s="8" t="s">
        <v>12</v>
      </c>
      <c r="J5" s="8" t="s">
        <v>13</v>
      </c>
      <c r="K5" s="8" t="s">
        <v>14</v>
      </c>
      <c r="L5" s="6" t="s">
        <v>15</v>
      </c>
      <c r="M5" s="6"/>
      <c r="N5" s="6"/>
      <c r="O5" s="6"/>
      <c r="P5" s="6"/>
      <c r="Q5" s="6"/>
      <c r="R5" s="6" t="s">
        <v>16</v>
      </c>
      <c r="S5" s="6"/>
      <c r="T5" s="6" t="s">
        <v>15</v>
      </c>
      <c r="U5" s="6"/>
      <c r="V5" s="6"/>
      <c r="W5" s="6"/>
      <c r="X5" s="6"/>
      <c r="Y5" s="6"/>
      <c r="Z5" s="6" t="s">
        <v>16</v>
      </c>
      <c r="AA5" s="6"/>
      <c r="AB5" s="6"/>
      <c r="AC5" s="6"/>
    </row>
    <row r="6" spans="1:29" ht="15.75" thickBot="1" x14ac:dyDescent="0.3">
      <c r="B6" s="6"/>
      <c r="C6" s="6"/>
      <c r="D6" s="8"/>
      <c r="E6" s="8"/>
      <c r="F6" s="8"/>
      <c r="G6" s="8"/>
      <c r="H6" s="8"/>
      <c r="I6" s="8"/>
      <c r="J6" s="8"/>
      <c r="K6" s="8"/>
      <c r="L6" s="8" t="s">
        <v>17</v>
      </c>
      <c r="M6" s="8"/>
      <c r="N6" s="8" t="s">
        <v>18</v>
      </c>
      <c r="O6" s="8"/>
      <c r="P6" s="6" t="s">
        <v>19</v>
      </c>
      <c r="Q6" s="6"/>
      <c r="R6" s="6" t="s">
        <v>20</v>
      </c>
      <c r="S6" s="6"/>
      <c r="T6" s="8" t="s">
        <v>17</v>
      </c>
      <c r="U6" s="8"/>
      <c r="V6" s="8" t="s">
        <v>18</v>
      </c>
      <c r="W6" s="8"/>
      <c r="X6" s="6" t="s">
        <v>19</v>
      </c>
      <c r="Y6" s="6"/>
      <c r="Z6" s="8" t="s">
        <v>21</v>
      </c>
      <c r="AA6" s="8"/>
      <c r="AB6" s="8" t="s">
        <v>9</v>
      </c>
      <c r="AC6" s="8"/>
    </row>
    <row r="7" spans="1:29" s="34" customFormat="1" ht="45.75" thickBot="1" x14ac:dyDescent="0.3">
      <c r="A7" s="33"/>
      <c r="B7" s="6"/>
      <c r="C7" s="6"/>
      <c r="D7" s="9" t="s">
        <v>22</v>
      </c>
      <c r="E7" s="10" t="s">
        <v>23</v>
      </c>
      <c r="F7" s="8"/>
      <c r="G7" s="8"/>
      <c r="H7" s="8"/>
      <c r="I7" s="8"/>
      <c r="J7" s="8"/>
      <c r="K7" s="8"/>
      <c r="L7" s="11" t="s">
        <v>24</v>
      </c>
      <c r="M7" s="11" t="s">
        <v>25</v>
      </c>
      <c r="N7" s="11" t="s">
        <v>24</v>
      </c>
      <c r="O7" s="11" t="s">
        <v>25</v>
      </c>
      <c r="P7" s="11" t="s">
        <v>24</v>
      </c>
      <c r="Q7" s="11" t="s">
        <v>25</v>
      </c>
      <c r="R7" s="11" t="s">
        <v>24</v>
      </c>
      <c r="S7" s="11" t="s">
        <v>25</v>
      </c>
      <c r="T7" s="11" t="s">
        <v>24</v>
      </c>
      <c r="U7" s="11" t="s">
        <v>25</v>
      </c>
      <c r="V7" s="11" t="s">
        <v>24</v>
      </c>
      <c r="W7" s="11" t="s">
        <v>25</v>
      </c>
      <c r="X7" s="11" t="s">
        <v>24</v>
      </c>
      <c r="Y7" s="11" t="s">
        <v>25</v>
      </c>
      <c r="Z7" s="11" t="s">
        <v>24</v>
      </c>
      <c r="AA7" s="11" t="s">
        <v>25</v>
      </c>
      <c r="AB7" s="11" t="s">
        <v>24</v>
      </c>
      <c r="AC7" s="11" t="s">
        <v>25</v>
      </c>
    </row>
    <row r="8" spans="1:29" ht="15.75" thickBot="1" x14ac:dyDescent="0.3">
      <c r="B8" s="12"/>
      <c r="C8" s="12"/>
      <c r="D8" s="9">
        <v>1</v>
      </c>
      <c r="E8" s="9">
        <v>2</v>
      </c>
      <c r="F8" s="9">
        <v>3</v>
      </c>
      <c r="G8" s="9">
        <v>4</v>
      </c>
      <c r="H8" s="9">
        <v>5</v>
      </c>
      <c r="I8" s="9">
        <v>6</v>
      </c>
      <c r="J8" s="9">
        <v>7</v>
      </c>
      <c r="K8" s="9">
        <v>8</v>
      </c>
      <c r="L8" s="9">
        <v>9</v>
      </c>
      <c r="M8" s="9">
        <v>10</v>
      </c>
      <c r="N8" s="9">
        <v>11</v>
      </c>
      <c r="O8" s="9">
        <v>12</v>
      </c>
      <c r="P8" s="9">
        <v>13</v>
      </c>
      <c r="Q8" s="9">
        <v>14</v>
      </c>
      <c r="R8" s="9">
        <v>15</v>
      </c>
      <c r="S8" s="9">
        <v>16</v>
      </c>
      <c r="T8" s="9">
        <v>17</v>
      </c>
      <c r="U8" s="9">
        <v>18</v>
      </c>
      <c r="V8" s="9">
        <v>19</v>
      </c>
      <c r="W8" s="9">
        <v>20</v>
      </c>
      <c r="X8" s="9">
        <v>21</v>
      </c>
      <c r="Y8" s="9">
        <v>22</v>
      </c>
      <c r="Z8" s="9">
        <v>23</v>
      </c>
      <c r="AA8" s="9">
        <v>24</v>
      </c>
      <c r="AB8" s="9">
        <v>25</v>
      </c>
      <c r="AC8" s="9">
        <v>26</v>
      </c>
    </row>
    <row r="9" spans="1:29" ht="15.75" thickBot="1" x14ac:dyDescent="0.3">
      <c r="B9" s="13" t="s">
        <v>26</v>
      </c>
      <c r="C9" s="13"/>
      <c r="D9" s="14"/>
      <c r="E9" s="14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</row>
    <row r="10" spans="1:29" ht="15.75" thickBot="1" x14ac:dyDescent="0.3">
      <c r="B10" s="13" t="s">
        <v>27</v>
      </c>
      <c r="C10" s="16"/>
      <c r="D10" s="14"/>
      <c r="E10" s="14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</row>
    <row r="11" spans="1:29" ht="15.75" thickBot="1" x14ac:dyDescent="0.3">
      <c r="B11" s="30">
        <v>1</v>
      </c>
      <c r="C11" s="17" t="s">
        <v>28</v>
      </c>
      <c r="D11" s="18">
        <v>9131</v>
      </c>
      <c r="E11" s="18">
        <v>2500</v>
      </c>
      <c r="F11" s="18">
        <v>63890</v>
      </c>
      <c r="G11" s="18">
        <v>40767</v>
      </c>
      <c r="H11" s="18">
        <v>29670</v>
      </c>
      <c r="I11" s="18">
        <v>3465153</v>
      </c>
      <c r="J11" s="18">
        <v>3377699</v>
      </c>
      <c r="K11" s="18">
        <v>80180120</v>
      </c>
      <c r="L11" s="19">
        <v>12001360</v>
      </c>
      <c r="M11" s="19">
        <v>20797661.153200001</v>
      </c>
      <c r="N11" s="19">
        <v>4538574</v>
      </c>
      <c r="O11" s="19">
        <v>16028611.959319999</v>
      </c>
      <c r="P11" s="19">
        <v>0</v>
      </c>
      <c r="Q11" s="19">
        <v>0</v>
      </c>
      <c r="R11" s="19">
        <v>12811</v>
      </c>
      <c r="S11" s="19">
        <v>72631.3</v>
      </c>
      <c r="T11" s="19">
        <v>2477193</v>
      </c>
      <c r="U11" s="19">
        <v>5931691.6312999995</v>
      </c>
      <c r="V11" s="19">
        <v>681420</v>
      </c>
      <c r="W11" s="19">
        <v>1894955.4761300001</v>
      </c>
      <c r="X11" s="19">
        <v>0</v>
      </c>
      <c r="Y11" s="19">
        <v>0</v>
      </c>
      <c r="Z11" s="19">
        <v>20600761</v>
      </c>
      <c r="AA11" s="19">
        <v>106060703.082</v>
      </c>
      <c r="AB11" s="19">
        <v>1</v>
      </c>
      <c r="AC11" s="19">
        <v>1.2</v>
      </c>
    </row>
    <row r="12" spans="1:29" ht="15.75" thickBot="1" x14ac:dyDescent="0.3">
      <c r="B12" s="30">
        <v>2</v>
      </c>
      <c r="C12" s="17" t="s">
        <v>29</v>
      </c>
      <c r="D12" s="18">
        <v>5235</v>
      </c>
      <c r="E12" s="18">
        <v>2447</v>
      </c>
      <c r="F12" s="18">
        <v>20462</v>
      </c>
      <c r="G12" s="18">
        <v>25688</v>
      </c>
      <c r="H12" s="18">
        <v>0</v>
      </c>
      <c r="I12" s="18">
        <v>1511470</v>
      </c>
      <c r="J12" s="18">
        <v>152711</v>
      </c>
      <c r="K12" s="18">
        <v>38132580</v>
      </c>
      <c r="L12" s="19">
        <v>128337</v>
      </c>
      <c r="M12" s="19">
        <v>662304.28798999998</v>
      </c>
      <c r="N12" s="19">
        <v>697362</v>
      </c>
      <c r="O12" s="19">
        <v>1268034.9687600001</v>
      </c>
      <c r="P12" s="19">
        <v>0</v>
      </c>
      <c r="Q12" s="19">
        <v>0</v>
      </c>
      <c r="R12" s="19">
        <v>9399</v>
      </c>
      <c r="S12" s="19">
        <v>56336.39071</v>
      </c>
      <c r="T12" s="19">
        <v>1696455</v>
      </c>
      <c r="U12" s="19">
        <v>3877692.20701</v>
      </c>
      <c r="V12" s="19">
        <v>254357</v>
      </c>
      <c r="W12" s="19">
        <v>944566.16819000011</v>
      </c>
      <c r="X12" s="19">
        <v>0</v>
      </c>
      <c r="Y12" s="19">
        <v>0</v>
      </c>
      <c r="Z12" s="19">
        <v>9916071</v>
      </c>
      <c r="AA12" s="19">
        <v>58010984.615830004</v>
      </c>
      <c r="AB12" s="19">
        <v>0</v>
      </c>
      <c r="AC12" s="19">
        <v>0</v>
      </c>
    </row>
    <row r="13" spans="1:29" s="36" customFormat="1" ht="16.5" customHeight="1" thickBot="1" x14ac:dyDescent="0.25">
      <c r="A13" s="35"/>
      <c r="B13" s="30">
        <v>3</v>
      </c>
      <c r="C13" s="20" t="s">
        <v>30</v>
      </c>
      <c r="D13" s="21">
        <v>2516</v>
      </c>
      <c r="E13" s="21">
        <v>245</v>
      </c>
      <c r="F13" s="21">
        <v>1254</v>
      </c>
      <c r="G13" s="21">
        <v>6856</v>
      </c>
      <c r="H13" s="21">
        <v>355014</v>
      </c>
      <c r="I13" s="21">
        <v>982141</v>
      </c>
      <c r="J13" s="21">
        <v>0</v>
      </c>
      <c r="K13" s="21">
        <v>9984912</v>
      </c>
      <c r="L13" s="19">
        <v>0</v>
      </c>
      <c r="M13" s="19">
        <v>0</v>
      </c>
      <c r="N13" s="19">
        <v>0</v>
      </c>
      <c r="O13" s="19">
        <v>0</v>
      </c>
      <c r="P13" s="19">
        <v>0</v>
      </c>
      <c r="Q13" s="19">
        <v>0</v>
      </c>
      <c r="R13" s="19">
        <v>0</v>
      </c>
      <c r="S13" s="19">
        <v>0</v>
      </c>
      <c r="T13" s="19">
        <v>826420</v>
      </c>
      <c r="U13" s="19">
        <v>1991795.4741</v>
      </c>
      <c r="V13" s="19">
        <v>84420</v>
      </c>
      <c r="W13" s="19">
        <v>361937.21106</v>
      </c>
      <c r="X13" s="19">
        <v>5682</v>
      </c>
      <c r="Y13" s="19">
        <v>56894.20435</v>
      </c>
      <c r="Z13" s="19">
        <v>5053538</v>
      </c>
      <c r="AA13" s="19">
        <v>25655400.720109999</v>
      </c>
      <c r="AB13" s="19">
        <v>0</v>
      </c>
      <c r="AC13" s="19">
        <v>0</v>
      </c>
    </row>
    <row r="14" spans="1:29" ht="15.75" thickBot="1" x14ac:dyDescent="0.3">
      <c r="B14" s="30">
        <v>4</v>
      </c>
      <c r="C14" s="17" t="s">
        <v>31</v>
      </c>
      <c r="D14" s="18">
        <v>7843</v>
      </c>
      <c r="E14" s="18">
        <v>2968</v>
      </c>
      <c r="F14" s="18">
        <v>95905</v>
      </c>
      <c r="G14" s="18">
        <v>12915</v>
      </c>
      <c r="H14" s="18">
        <v>0</v>
      </c>
      <c r="I14" s="18">
        <v>4569344</v>
      </c>
      <c r="J14" s="18">
        <v>1303306</v>
      </c>
      <c r="K14" s="18">
        <v>61127926</v>
      </c>
      <c r="L14" s="19">
        <v>1187156</v>
      </c>
      <c r="M14" s="19">
        <v>5201157.2427300001</v>
      </c>
      <c r="N14" s="19">
        <v>597661</v>
      </c>
      <c r="O14" s="19">
        <v>3181700.9021100001</v>
      </c>
      <c r="P14" s="19">
        <v>0</v>
      </c>
      <c r="Q14" s="19">
        <v>0</v>
      </c>
      <c r="R14" s="19">
        <v>92941</v>
      </c>
      <c r="S14" s="19">
        <v>557349.5</v>
      </c>
      <c r="T14" s="19">
        <v>4919899</v>
      </c>
      <c r="U14" s="19">
        <v>14912669.363919999</v>
      </c>
      <c r="V14" s="19">
        <v>846352</v>
      </c>
      <c r="W14" s="19">
        <v>4604628.8863500003</v>
      </c>
      <c r="X14" s="19">
        <v>5045</v>
      </c>
      <c r="Y14" s="19">
        <v>102253.497</v>
      </c>
      <c r="Z14" s="19">
        <v>27331815</v>
      </c>
      <c r="AA14" s="19">
        <v>141011118.84999999</v>
      </c>
      <c r="AB14" s="19">
        <v>5</v>
      </c>
      <c r="AC14" s="19">
        <v>4.5</v>
      </c>
    </row>
    <row r="15" spans="1:29" ht="15.75" thickBot="1" x14ac:dyDescent="0.3">
      <c r="B15" s="30">
        <v>5</v>
      </c>
      <c r="C15" s="17" t="s">
        <v>32</v>
      </c>
      <c r="D15" s="18">
        <v>2871</v>
      </c>
      <c r="E15" s="18">
        <v>948</v>
      </c>
      <c r="F15" s="18">
        <v>3316</v>
      </c>
      <c r="G15" s="18">
        <v>2692</v>
      </c>
      <c r="H15" s="18">
        <v>38138</v>
      </c>
      <c r="I15" s="18">
        <v>1596330</v>
      </c>
      <c r="J15" s="18">
        <v>0</v>
      </c>
      <c r="K15" s="18">
        <v>29315849</v>
      </c>
      <c r="L15" s="19">
        <v>0</v>
      </c>
      <c r="M15" s="19">
        <v>0</v>
      </c>
      <c r="N15" s="19">
        <v>0</v>
      </c>
      <c r="O15" s="19">
        <v>0</v>
      </c>
      <c r="P15" s="19">
        <v>0</v>
      </c>
      <c r="Q15" s="19">
        <v>0</v>
      </c>
      <c r="R15" s="19">
        <v>0</v>
      </c>
      <c r="S15" s="19">
        <v>0</v>
      </c>
      <c r="T15" s="19">
        <v>961475</v>
      </c>
      <c r="U15" s="19">
        <v>2644315.3648399999</v>
      </c>
      <c r="V15" s="19">
        <v>144926</v>
      </c>
      <c r="W15" s="19">
        <v>708300.61699999997</v>
      </c>
      <c r="X15" s="19">
        <v>0</v>
      </c>
      <c r="Y15" s="19">
        <v>0</v>
      </c>
      <c r="Z15" s="19">
        <v>4623436</v>
      </c>
      <c r="AA15" s="19">
        <v>30328402.800000001</v>
      </c>
      <c r="AB15" s="19">
        <v>29</v>
      </c>
      <c r="AC15" s="19">
        <v>74.591999999999999</v>
      </c>
    </row>
    <row r="16" spans="1:29" ht="15.75" thickBot="1" x14ac:dyDescent="0.3">
      <c r="B16" s="30">
        <v>6</v>
      </c>
      <c r="C16" s="17" t="s">
        <v>33</v>
      </c>
      <c r="D16" s="18">
        <v>5046</v>
      </c>
      <c r="E16" s="18">
        <v>632</v>
      </c>
      <c r="F16" s="18">
        <v>29537</v>
      </c>
      <c r="G16" s="18">
        <v>18109</v>
      </c>
      <c r="H16" s="18">
        <v>0</v>
      </c>
      <c r="I16" s="18">
        <v>2827975</v>
      </c>
      <c r="J16" s="18">
        <v>272318</v>
      </c>
      <c r="K16" s="18">
        <v>37484428</v>
      </c>
      <c r="L16" s="19">
        <v>165586</v>
      </c>
      <c r="M16" s="19">
        <v>815416.56637999997</v>
      </c>
      <c r="N16" s="19">
        <v>144574</v>
      </c>
      <c r="O16" s="19">
        <v>799316.11121</v>
      </c>
      <c r="P16" s="19">
        <v>0</v>
      </c>
      <c r="Q16" s="19">
        <v>0</v>
      </c>
      <c r="R16" s="19">
        <v>3577</v>
      </c>
      <c r="S16" s="19">
        <v>29589.748</v>
      </c>
      <c r="T16" s="19">
        <v>2334586</v>
      </c>
      <c r="U16" s="19">
        <v>5936436.3985700021</v>
      </c>
      <c r="V16" s="19">
        <v>304378</v>
      </c>
      <c r="W16" s="19">
        <v>883759.82299999997</v>
      </c>
      <c r="X16" s="19">
        <v>183</v>
      </c>
      <c r="Y16" s="19">
        <v>627.54600000000005</v>
      </c>
      <c r="Z16" s="19">
        <v>16224194</v>
      </c>
      <c r="AA16" s="19">
        <v>82316719.680100009</v>
      </c>
      <c r="AB16" s="19">
        <v>0</v>
      </c>
      <c r="AC16" s="19">
        <v>0</v>
      </c>
    </row>
    <row r="17" spans="2:29" ht="15.75" thickBot="1" x14ac:dyDescent="0.3">
      <c r="B17" s="30">
        <v>7</v>
      </c>
      <c r="C17" s="17" t="s">
        <v>34</v>
      </c>
      <c r="D17" s="18">
        <v>2990</v>
      </c>
      <c r="E17" s="18">
        <v>734</v>
      </c>
      <c r="F17" s="18">
        <v>31963</v>
      </c>
      <c r="G17" s="18">
        <v>14650</v>
      </c>
      <c r="H17" s="18">
        <v>0</v>
      </c>
      <c r="I17" s="18">
        <v>613678</v>
      </c>
      <c r="J17" s="18">
        <v>198585</v>
      </c>
      <c r="K17" s="18">
        <v>23449230</v>
      </c>
      <c r="L17" s="19">
        <v>1092301</v>
      </c>
      <c r="M17" s="19">
        <v>1588076.4534</v>
      </c>
      <c r="N17" s="19">
        <v>83282</v>
      </c>
      <c r="O17" s="19">
        <v>359266.44983999996</v>
      </c>
      <c r="P17" s="19">
        <v>0</v>
      </c>
      <c r="Q17" s="19">
        <v>0</v>
      </c>
      <c r="R17" s="19">
        <v>11888</v>
      </c>
      <c r="S17" s="19">
        <v>64967.3</v>
      </c>
      <c r="T17" s="19">
        <v>1965094</v>
      </c>
      <c r="U17" s="19">
        <v>4820313.30253</v>
      </c>
      <c r="V17" s="19">
        <v>209405</v>
      </c>
      <c r="W17" s="19">
        <v>683027.59808999998</v>
      </c>
      <c r="X17" s="19">
        <v>0</v>
      </c>
      <c r="Y17" s="19">
        <v>0</v>
      </c>
      <c r="Z17" s="19">
        <v>11120192</v>
      </c>
      <c r="AA17" s="19">
        <v>52132043.014009997</v>
      </c>
      <c r="AB17" s="19">
        <v>0</v>
      </c>
      <c r="AC17" s="19">
        <v>0</v>
      </c>
    </row>
    <row r="18" spans="2:29" ht="15.75" thickBot="1" x14ac:dyDescent="0.3">
      <c r="B18" s="30">
        <v>8</v>
      </c>
      <c r="C18" s="17" t="s">
        <v>35</v>
      </c>
      <c r="D18" s="18">
        <v>1167</v>
      </c>
      <c r="E18" s="18">
        <v>35</v>
      </c>
      <c r="F18" s="18">
        <v>1454</v>
      </c>
      <c r="G18" s="18">
        <v>2286</v>
      </c>
      <c r="H18" s="18">
        <v>1614</v>
      </c>
      <c r="I18" s="18">
        <v>219915</v>
      </c>
      <c r="J18" s="18">
        <v>0</v>
      </c>
      <c r="K18" s="18">
        <v>4463214</v>
      </c>
      <c r="L18" s="19">
        <v>0</v>
      </c>
      <c r="M18" s="19">
        <v>0</v>
      </c>
      <c r="N18" s="19">
        <v>0</v>
      </c>
      <c r="O18" s="19">
        <v>0</v>
      </c>
      <c r="P18" s="19">
        <v>0</v>
      </c>
      <c r="Q18" s="19">
        <v>0</v>
      </c>
      <c r="R18" s="19">
        <v>0</v>
      </c>
      <c r="S18" s="19">
        <v>0</v>
      </c>
      <c r="T18" s="19">
        <v>40170</v>
      </c>
      <c r="U18" s="19">
        <v>134308.74400000001</v>
      </c>
      <c r="V18" s="19">
        <v>206688</v>
      </c>
      <c r="W18" s="19">
        <v>485390.64399999997</v>
      </c>
      <c r="X18" s="19">
        <v>0</v>
      </c>
      <c r="Y18" s="19">
        <v>0</v>
      </c>
      <c r="Z18" s="19">
        <v>1308121</v>
      </c>
      <c r="AA18" s="19">
        <v>6492529.5</v>
      </c>
      <c r="AB18" s="19">
        <v>0</v>
      </c>
      <c r="AC18" s="19">
        <v>0</v>
      </c>
    </row>
    <row r="19" spans="2:29" ht="15.75" thickBot="1" x14ac:dyDescent="0.3">
      <c r="B19" s="30">
        <v>9</v>
      </c>
      <c r="C19" s="17" t="s">
        <v>36</v>
      </c>
      <c r="D19" s="18">
        <v>7224</v>
      </c>
      <c r="E19" s="18">
        <v>3568</v>
      </c>
      <c r="F19" s="18">
        <v>29586</v>
      </c>
      <c r="G19" s="18">
        <v>0</v>
      </c>
      <c r="H19" s="18">
        <v>134610</v>
      </c>
      <c r="I19" s="18">
        <v>1222236</v>
      </c>
      <c r="J19" s="18">
        <v>1050403</v>
      </c>
      <c r="K19" s="18">
        <v>42898084</v>
      </c>
      <c r="L19" s="19">
        <v>412726</v>
      </c>
      <c r="M19" s="19">
        <v>1884503.0917799999</v>
      </c>
      <c r="N19" s="19">
        <v>5186488</v>
      </c>
      <c r="O19" s="19">
        <v>7307378.0591499992</v>
      </c>
      <c r="P19" s="19">
        <v>3</v>
      </c>
      <c r="Q19" s="19">
        <v>99.572720000000004</v>
      </c>
      <c r="R19" s="19">
        <v>5435</v>
      </c>
      <c r="S19" s="19">
        <v>18298.099999999999</v>
      </c>
      <c r="T19" s="19">
        <v>3172157</v>
      </c>
      <c r="U19" s="19">
        <v>8154079.56587</v>
      </c>
      <c r="V19" s="19">
        <v>634654</v>
      </c>
      <c r="W19" s="19">
        <v>1805244.79009</v>
      </c>
      <c r="X19" s="19">
        <v>0</v>
      </c>
      <c r="Y19" s="19">
        <v>0</v>
      </c>
      <c r="Z19" s="19">
        <v>21346748</v>
      </c>
      <c r="AA19" s="19">
        <v>110962984.40000001</v>
      </c>
      <c r="AB19" s="19">
        <v>0</v>
      </c>
      <c r="AC19" s="19">
        <v>0</v>
      </c>
    </row>
    <row r="20" spans="2:29" ht="15.75" thickBot="1" x14ac:dyDescent="0.3">
      <c r="B20" s="30">
        <v>10</v>
      </c>
      <c r="C20" s="17" t="s">
        <v>37</v>
      </c>
      <c r="D20" s="18">
        <v>28929</v>
      </c>
      <c r="E20" s="18">
        <v>36295</v>
      </c>
      <c r="F20" s="18">
        <v>1743202</v>
      </c>
      <c r="G20" s="18">
        <v>55750</v>
      </c>
      <c r="H20" s="18">
        <v>1052269</v>
      </c>
      <c r="I20" s="18">
        <v>6110601</v>
      </c>
      <c r="J20" s="18">
        <v>22957917</v>
      </c>
      <c r="K20" s="18">
        <v>259063610</v>
      </c>
      <c r="L20" s="19">
        <v>26333048</v>
      </c>
      <c r="M20" s="19">
        <v>141486261.51787999</v>
      </c>
      <c r="N20" s="19">
        <v>87800874</v>
      </c>
      <c r="O20" s="19">
        <v>211640999.16358998</v>
      </c>
      <c r="P20" s="19">
        <v>0</v>
      </c>
      <c r="Q20" s="19">
        <v>0</v>
      </c>
      <c r="R20" s="19">
        <v>122386</v>
      </c>
      <c r="S20" s="19">
        <v>547346.42599999998</v>
      </c>
      <c r="T20" s="19">
        <v>24625854</v>
      </c>
      <c r="U20" s="19">
        <v>66036524.119999997</v>
      </c>
      <c r="V20" s="19">
        <v>6401393</v>
      </c>
      <c r="W20" s="19">
        <v>21551164.366999999</v>
      </c>
      <c r="X20" s="19">
        <v>461</v>
      </c>
      <c r="Y20" s="19">
        <v>6265.8109999999997</v>
      </c>
      <c r="Z20" s="19">
        <v>139078051</v>
      </c>
      <c r="AA20" s="19">
        <v>779427798.69500005</v>
      </c>
      <c r="AB20" s="19">
        <v>4169</v>
      </c>
      <c r="AC20" s="19">
        <v>3309.009</v>
      </c>
    </row>
    <row r="21" spans="2:29" ht="15.75" thickBot="1" x14ac:dyDescent="0.3">
      <c r="B21" s="30">
        <v>11</v>
      </c>
      <c r="C21" s="17" t="s">
        <v>38</v>
      </c>
      <c r="D21" s="18">
        <v>2422</v>
      </c>
      <c r="E21" s="18">
        <v>216</v>
      </c>
      <c r="F21" s="18">
        <v>3805</v>
      </c>
      <c r="G21" s="18">
        <v>3568</v>
      </c>
      <c r="H21" s="18">
        <v>0</v>
      </c>
      <c r="I21" s="18">
        <v>1520916</v>
      </c>
      <c r="J21" s="18">
        <v>0</v>
      </c>
      <c r="K21" s="18">
        <v>14883496</v>
      </c>
      <c r="L21" s="19">
        <v>0</v>
      </c>
      <c r="M21" s="19">
        <v>0</v>
      </c>
      <c r="N21" s="19">
        <v>0</v>
      </c>
      <c r="O21" s="19">
        <v>0</v>
      </c>
      <c r="P21" s="19">
        <v>0</v>
      </c>
      <c r="Q21" s="19">
        <v>0</v>
      </c>
      <c r="R21" s="19">
        <v>0</v>
      </c>
      <c r="S21" s="19">
        <v>0</v>
      </c>
      <c r="T21" s="19">
        <v>672724</v>
      </c>
      <c r="U21" s="19">
        <v>1722988.46872</v>
      </c>
      <c r="V21" s="19">
        <v>168509</v>
      </c>
      <c r="W21" s="19">
        <v>495997.87974</v>
      </c>
      <c r="X21" s="19">
        <v>642</v>
      </c>
      <c r="Y21" s="19">
        <v>11174.77708</v>
      </c>
      <c r="Z21" s="19">
        <v>5660345</v>
      </c>
      <c r="AA21" s="19">
        <v>27476307.31952</v>
      </c>
      <c r="AB21" s="19">
        <v>2</v>
      </c>
      <c r="AC21" s="19">
        <v>2.1</v>
      </c>
    </row>
    <row r="22" spans="2:29" ht="15.75" thickBot="1" x14ac:dyDescent="0.3">
      <c r="B22" s="30">
        <v>12</v>
      </c>
      <c r="C22" s="17" t="s">
        <v>39</v>
      </c>
      <c r="D22" s="18">
        <v>8037</v>
      </c>
      <c r="E22" s="18">
        <v>768</v>
      </c>
      <c r="F22" s="18">
        <v>39969</v>
      </c>
      <c r="G22" s="18">
        <v>8885</v>
      </c>
      <c r="H22" s="18">
        <v>487529</v>
      </c>
      <c r="I22" s="18">
        <v>298119</v>
      </c>
      <c r="J22" s="18">
        <v>505934</v>
      </c>
      <c r="K22" s="18">
        <v>57989153</v>
      </c>
      <c r="L22" s="19">
        <v>511559</v>
      </c>
      <c r="M22" s="19">
        <v>2417838.2450999999</v>
      </c>
      <c r="N22" s="19">
        <v>2606876</v>
      </c>
      <c r="O22" s="19">
        <v>4035492.1981400005</v>
      </c>
      <c r="P22" s="19">
        <v>0</v>
      </c>
      <c r="Q22" s="19">
        <v>0</v>
      </c>
      <c r="R22" s="19">
        <v>9172</v>
      </c>
      <c r="S22" s="19">
        <v>45775.270489999995</v>
      </c>
      <c r="T22" s="19">
        <v>3370325</v>
      </c>
      <c r="U22" s="19">
        <v>8337844.3768699998</v>
      </c>
      <c r="V22" s="19">
        <v>681404</v>
      </c>
      <c r="W22" s="19">
        <v>2220608.5076099997</v>
      </c>
      <c r="X22" s="19">
        <v>1777</v>
      </c>
      <c r="Y22" s="19">
        <v>7228.0773200000003</v>
      </c>
      <c r="Z22" s="19">
        <v>38377653</v>
      </c>
      <c r="AA22" s="19">
        <v>116323315.47256999</v>
      </c>
      <c r="AB22" s="19">
        <v>6</v>
      </c>
      <c r="AC22" s="19">
        <v>14.8</v>
      </c>
    </row>
    <row r="23" spans="2:29" ht="15.75" thickBot="1" x14ac:dyDescent="0.3">
      <c r="B23" s="13" t="s">
        <v>40</v>
      </c>
      <c r="C23" s="16"/>
      <c r="D23" s="14"/>
      <c r="E23" s="14"/>
      <c r="F23" s="14"/>
      <c r="G23" s="14"/>
      <c r="H23" s="14"/>
      <c r="I23" s="14"/>
      <c r="J23" s="14"/>
      <c r="K23" s="14"/>
      <c r="L23" s="15"/>
      <c r="M23" s="15"/>
      <c r="N23" s="15"/>
      <c r="O23" s="15"/>
      <c r="P23" s="15"/>
      <c r="Q23" s="15"/>
      <c r="R23" s="15"/>
      <c r="S23" s="15"/>
      <c r="T23" s="19"/>
      <c r="U23" s="19"/>
      <c r="V23" s="19"/>
      <c r="W23" s="19"/>
      <c r="X23" s="19"/>
      <c r="Y23" s="19"/>
      <c r="Z23" s="19"/>
      <c r="AA23" s="19"/>
      <c r="AB23" s="19"/>
      <c r="AC23" s="19"/>
    </row>
    <row r="24" spans="2:29" ht="15.75" thickBot="1" x14ac:dyDescent="0.3">
      <c r="B24" s="30">
        <v>13</v>
      </c>
      <c r="C24" s="17" t="s">
        <v>41</v>
      </c>
      <c r="D24" s="18">
        <v>6908</v>
      </c>
      <c r="E24" s="18">
        <v>5628</v>
      </c>
      <c r="F24" s="18">
        <v>2621305</v>
      </c>
      <c r="G24" s="18">
        <v>1024</v>
      </c>
      <c r="H24" s="18">
        <v>453203</v>
      </c>
      <c r="I24" s="18">
        <v>130485579</v>
      </c>
      <c r="J24" s="18">
        <v>16293823</v>
      </c>
      <c r="K24" s="18">
        <v>46650874</v>
      </c>
      <c r="L24" s="19">
        <v>57007118</v>
      </c>
      <c r="M24" s="19">
        <v>113522420.09475</v>
      </c>
      <c r="N24" s="19">
        <v>30009486</v>
      </c>
      <c r="O24" s="19">
        <v>116853953.39823002</v>
      </c>
      <c r="P24" s="19">
        <v>0</v>
      </c>
      <c r="Q24" s="19">
        <v>0</v>
      </c>
      <c r="R24" s="19">
        <v>62009</v>
      </c>
      <c r="S24" s="19">
        <v>350273.2</v>
      </c>
      <c r="T24" s="19">
        <v>3137421</v>
      </c>
      <c r="U24" s="19">
        <v>13140627.93201001</v>
      </c>
      <c r="V24" s="19">
        <v>1831514</v>
      </c>
      <c r="W24" s="19">
        <v>15281015.533280006</v>
      </c>
      <c r="X24" s="19">
        <v>8632</v>
      </c>
      <c r="Y24" s="19">
        <v>226186.777</v>
      </c>
      <c r="Z24" s="19">
        <v>13656600</v>
      </c>
      <c r="AA24" s="19">
        <v>95708348.881999999</v>
      </c>
      <c r="AB24" s="19">
        <v>0</v>
      </c>
      <c r="AC24" s="19">
        <v>0</v>
      </c>
    </row>
    <row r="25" spans="2:29" ht="15.75" thickBot="1" x14ac:dyDescent="0.3">
      <c r="B25" s="30">
        <v>14</v>
      </c>
      <c r="C25" s="17" t="s">
        <v>42</v>
      </c>
      <c r="D25" s="18">
        <v>431</v>
      </c>
      <c r="E25" s="18">
        <v>7</v>
      </c>
      <c r="F25" s="18">
        <v>75463</v>
      </c>
      <c r="G25" s="18">
        <v>0</v>
      </c>
      <c r="H25" s="18">
        <v>57118</v>
      </c>
      <c r="I25" s="18">
        <v>0</v>
      </c>
      <c r="J25" s="18">
        <v>27396</v>
      </c>
      <c r="K25" s="18">
        <v>6500435</v>
      </c>
      <c r="L25" s="19">
        <v>94186</v>
      </c>
      <c r="M25" s="19">
        <v>144570.29225999862</v>
      </c>
      <c r="N25" s="19">
        <v>9553</v>
      </c>
      <c r="O25" s="19">
        <v>61961.402660000073</v>
      </c>
      <c r="P25" s="19">
        <v>0</v>
      </c>
      <c r="Q25" s="19">
        <v>0</v>
      </c>
      <c r="R25" s="19">
        <v>231</v>
      </c>
      <c r="S25" s="19">
        <v>1094.9000000000001</v>
      </c>
      <c r="T25" s="19">
        <v>152150</v>
      </c>
      <c r="U25" s="19">
        <v>567959.85571000015</v>
      </c>
      <c r="V25" s="19">
        <v>42473</v>
      </c>
      <c r="W25" s="19">
        <v>238349.74139999997</v>
      </c>
      <c r="X25" s="19">
        <v>0</v>
      </c>
      <c r="Y25" s="19">
        <v>0</v>
      </c>
      <c r="Z25" s="19">
        <v>1662957</v>
      </c>
      <c r="AA25" s="19">
        <v>10025689.810000001</v>
      </c>
      <c r="AB25" s="19">
        <v>0</v>
      </c>
      <c r="AC25" s="19">
        <v>0</v>
      </c>
    </row>
    <row r="26" spans="2:29" ht="15.75" thickBot="1" x14ac:dyDescent="0.3">
      <c r="B26" s="30">
        <v>15</v>
      </c>
      <c r="C26" s="17" t="s">
        <v>43</v>
      </c>
      <c r="D26" s="18">
        <v>1346</v>
      </c>
      <c r="E26" s="18">
        <v>459</v>
      </c>
      <c r="F26" s="18">
        <v>6380</v>
      </c>
      <c r="G26" s="18">
        <v>25191</v>
      </c>
      <c r="H26" s="18">
        <v>0</v>
      </c>
      <c r="I26" s="18">
        <v>73965</v>
      </c>
      <c r="J26" s="18">
        <v>63167</v>
      </c>
      <c r="K26" s="18">
        <v>3443765</v>
      </c>
      <c r="L26" s="19">
        <v>61165</v>
      </c>
      <c r="M26" s="19">
        <v>354112.10742000112</v>
      </c>
      <c r="N26" s="19">
        <v>36395</v>
      </c>
      <c r="O26" s="19">
        <v>385694.7180500002</v>
      </c>
      <c r="P26" s="19">
        <v>0</v>
      </c>
      <c r="Q26" s="19">
        <v>0</v>
      </c>
      <c r="R26" s="19">
        <v>229</v>
      </c>
      <c r="S26" s="19">
        <v>1395.9</v>
      </c>
      <c r="T26" s="19">
        <v>350879</v>
      </c>
      <c r="U26" s="19">
        <v>1191885.06124</v>
      </c>
      <c r="V26" s="19">
        <v>28630</v>
      </c>
      <c r="W26" s="19">
        <v>97008.615080000003</v>
      </c>
      <c r="X26" s="19">
        <v>0</v>
      </c>
      <c r="Y26" s="19">
        <v>0</v>
      </c>
      <c r="Z26" s="19">
        <v>1969626</v>
      </c>
      <c r="AA26" s="19">
        <v>12543148.59055</v>
      </c>
      <c r="AB26" s="19">
        <v>0</v>
      </c>
      <c r="AC26" s="19">
        <v>0</v>
      </c>
    </row>
    <row r="27" spans="2:29" ht="15.75" thickBot="1" x14ac:dyDescent="0.3">
      <c r="B27" s="30">
        <v>16</v>
      </c>
      <c r="C27" s="17" t="s">
        <v>44</v>
      </c>
      <c r="D27" s="18">
        <v>806</v>
      </c>
      <c r="E27" s="18">
        <v>36</v>
      </c>
      <c r="F27" s="18">
        <v>0</v>
      </c>
      <c r="G27" s="18">
        <v>0</v>
      </c>
      <c r="H27" s="18">
        <v>20202</v>
      </c>
      <c r="I27" s="18">
        <v>0</v>
      </c>
      <c r="J27" s="18">
        <v>190112</v>
      </c>
      <c r="K27" s="18">
        <v>914635</v>
      </c>
      <c r="L27" s="19">
        <v>181318</v>
      </c>
      <c r="M27" s="19">
        <v>528049.30440999998</v>
      </c>
      <c r="N27" s="19">
        <v>1998171</v>
      </c>
      <c r="O27" s="19">
        <v>1699278.56828</v>
      </c>
      <c r="P27" s="19">
        <v>0</v>
      </c>
      <c r="Q27" s="19">
        <v>0</v>
      </c>
      <c r="R27" s="19">
        <v>0</v>
      </c>
      <c r="S27" s="19">
        <v>0</v>
      </c>
      <c r="T27" s="19">
        <v>97173</v>
      </c>
      <c r="U27" s="19">
        <v>295506.18701999995</v>
      </c>
      <c r="V27" s="19">
        <v>7095</v>
      </c>
      <c r="W27" s="19">
        <v>52067.420700000002</v>
      </c>
      <c r="X27" s="19">
        <v>0</v>
      </c>
      <c r="Y27" s="19">
        <v>0</v>
      </c>
      <c r="Z27" s="19">
        <v>325910</v>
      </c>
      <c r="AA27" s="19">
        <v>1907820.1</v>
      </c>
      <c r="AB27" s="19">
        <v>0</v>
      </c>
      <c r="AC27" s="19">
        <v>0</v>
      </c>
    </row>
    <row r="28" spans="2:29" ht="15.75" thickBot="1" x14ac:dyDescent="0.3">
      <c r="B28" s="30">
        <v>17</v>
      </c>
      <c r="C28" s="17" t="s">
        <v>45</v>
      </c>
      <c r="D28" s="18">
        <v>448</v>
      </c>
      <c r="E28" s="18">
        <v>4</v>
      </c>
      <c r="F28" s="18">
        <v>0</v>
      </c>
      <c r="G28" s="18">
        <v>0</v>
      </c>
      <c r="H28" s="18">
        <v>0</v>
      </c>
      <c r="I28" s="18">
        <v>0</v>
      </c>
      <c r="J28" s="18">
        <v>39512</v>
      </c>
      <c r="K28" s="18">
        <v>1526124</v>
      </c>
      <c r="L28" s="19">
        <v>8765</v>
      </c>
      <c r="M28" s="19">
        <v>25396.896200000025</v>
      </c>
      <c r="N28" s="19">
        <v>23197</v>
      </c>
      <c r="O28" s="19">
        <v>54371.947209999897</v>
      </c>
      <c r="P28" s="19">
        <v>118313</v>
      </c>
      <c r="Q28" s="19">
        <v>48803.850029999885</v>
      </c>
      <c r="R28" s="19">
        <v>198</v>
      </c>
      <c r="S28" s="19">
        <v>1070.5999999999999</v>
      </c>
      <c r="T28" s="19">
        <v>74703</v>
      </c>
      <c r="U28" s="19">
        <v>252369.41447999998</v>
      </c>
      <c r="V28" s="19">
        <v>70464</v>
      </c>
      <c r="W28" s="19">
        <v>289925.19157999998</v>
      </c>
      <c r="X28" s="19">
        <v>187</v>
      </c>
      <c r="Y28" s="19">
        <v>7316.3950000000004</v>
      </c>
      <c r="Z28" s="19">
        <v>238403</v>
      </c>
      <c r="AA28" s="19">
        <v>1714748.8929999999</v>
      </c>
      <c r="AB28" s="19">
        <v>0</v>
      </c>
      <c r="AC28" s="19">
        <v>0</v>
      </c>
    </row>
    <row r="29" spans="2:29" ht="15.75" thickBot="1" x14ac:dyDescent="0.3">
      <c r="B29" s="30">
        <v>18</v>
      </c>
      <c r="C29" s="17" t="s">
        <v>46</v>
      </c>
      <c r="D29" s="18">
        <v>246</v>
      </c>
      <c r="E29" s="18">
        <v>37</v>
      </c>
      <c r="F29" s="18">
        <v>1703</v>
      </c>
      <c r="G29" s="18">
        <v>0</v>
      </c>
      <c r="H29" s="18">
        <v>0</v>
      </c>
      <c r="I29" s="18">
        <v>20733</v>
      </c>
      <c r="J29" s="18">
        <v>12889</v>
      </c>
      <c r="K29" s="18">
        <v>672865</v>
      </c>
      <c r="L29" s="19">
        <v>21319</v>
      </c>
      <c r="M29" s="19">
        <v>58392.287979999994</v>
      </c>
      <c r="N29" s="19">
        <v>6688</v>
      </c>
      <c r="O29" s="19">
        <v>26173.544429999998</v>
      </c>
      <c r="P29" s="19">
        <v>0</v>
      </c>
      <c r="Q29" s="19">
        <v>0</v>
      </c>
      <c r="R29" s="19">
        <v>160</v>
      </c>
      <c r="S29" s="19">
        <v>617.79999999999995</v>
      </c>
      <c r="T29" s="19">
        <v>110365</v>
      </c>
      <c r="U29" s="19">
        <v>272804.93511000008</v>
      </c>
      <c r="V29" s="19">
        <v>2817</v>
      </c>
      <c r="W29" s="19">
        <v>9014.9049400000004</v>
      </c>
      <c r="X29" s="19">
        <v>0</v>
      </c>
      <c r="Y29" s="19">
        <v>0</v>
      </c>
      <c r="Z29" s="19">
        <v>366968</v>
      </c>
      <c r="AA29" s="19">
        <v>1760861.1615899999</v>
      </c>
      <c r="AB29" s="19">
        <v>0</v>
      </c>
      <c r="AC29" s="19">
        <v>0</v>
      </c>
    </row>
    <row r="30" spans="2:29" ht="15.75" thickBot="1" x14ac:dyDescent="0.3">
      <c r="B30" s="30">
        <v>19</v>
      </c>
      <c r="C30" s="17" t="s">
        <v>47</v>
      </c>
      <c r="D30" s="18">
        <v>1855</v>
      </c>
      <c r="E30" s="18">
        <v>287</v>
      </c>
      <c r="F30" s="18">
        <v>28087</v>
      </c>
      <c r="G30" s="18">
        <v>3464</v>
      </c>
      <c r="H30" s="18">
        <v>0</v>
      </c>
      <c r="I30" s="18">
        <v>6457935</v>
      </c>
      <c r="J30" s="18">
        <v>2736575</v>
      </c>
      <c r="K30" s="18">
        <v>13591366</v>
      </c>
      <c r="L30" s="19">
        <v>4618914</v>
      </c>
      <c r="M30" s="19">
        <v>12288069.54569</v>
      </c>
      <c r="N30" s="19">
        <v>8108979</v>
      </c>
      <c r="O30" s="19">
        <v>16437016.661040001</v>
      </c>
      <c r="P30" s="19">
        <v>0</v>
      </c>
      <c r="Q30" s="19">
        <v>0</v>
      </c>
      <c r="R30" s="19">
        <v>6253</v>
      </c>
      <c r="S30" s="19">
        <v>31398.780640000001</v>
      </c>
      <c r="T30" s="19">
        <v>2443320</v>
      </c>
      <c r="U30" s="19">
        <v>8721011.0418799985</v>
      </c>
      <c r="V30" s="19">
        <v>940103</v>
      </c>
      <c r="W30" s="19">
        <v>4377951.3539499994</v>
      </c>
      <c r="X30" s="19">
        <v>3108</v>
      </c>
      <c r="Y30" s="19">
        <v>47515.350279999999</v>
      </c>
      <c r="Z30" s="19">
        <v>6354516</v>
      </c>
      <c r="AA30" s="19">
        <v>36802565.005000003</v>
      </c>
      <c r="AB30" s="19">
        <v>0</v>
      </c>
      <c r="AC30" s="19">
        <v>0</v>
      </c>
    </row>
    <row r="31" spans="2:29" ht="15.75" thickBot="1" x14ac:dyDescent="0.3">
      <c r="B31" s="30">
        <v>20</v>
      </c>
      <c r="C31" s="17" t="s">
        <v>48</v>
      </c>
      <c r="D31" s="18">
        <v>13179</v>
      </c>
      <c r="E31" s="18">
        <v>7776</v>
      </c>
      <c r="F31" s="18">
        <v>1983642</v>
      </c>
      <c r="G31" s="18">
        <v>1539</v>
      </c>
      <c r="H31" s="18">
        <v>2306876</v>
      </c>
      <c r="I31" s="18">
        <v>1250308</v>
      </c>
      <c r="J31" s="18">
        <v>27099584</v>
      </c>
      <c r="K31" s="18">
        <v>64729430</v>
      </c>
      <c r="L31" s="19">
        <v>111425075</v>
      </c>
      <c r="M31" s="19">
        <v>217602771.64267999</v>
      </c>
      <c r="N31" s="19">
        <v>45486601</v>
      </c>
      <c r="O31" s="19">
        <v>395622159.25604999</v>
      </c>
      <c r="P31" s="19">
        <v>0</v>
      </c>
      <c r="Q31" s="19">
        <v>0</v>
      </c>
      <c r="R31" s="19">
        <v>166267</v>
      </c>
      <c r="S31" s="19">
        <v>1128044.7632200001</v>
      </c>
      <c r="T31" s="19">
        <v>6893398</v>
      </c>
      <c r="U31" s="19">
        <v>32765245.476210002</v>
      </c>
      <c r="V31" s="19">
        <v>5993515</v>
      </c>
      <c r="W31" s="19">
        <v>38201012.931410007</v>
      </c>
      <c r="X31" s="19">
        <v>44077</v>
      </c>
      <c r="Y31" s="19">
        <v>1530945.32932</v>
      </c>
      <c r="Z31" s="19">
        <v>27348668</v>
      </c>
      <c r="AA31" s="19">
        <v>199902601.71599999</v>
      </c>
      <c r="AB31" s="19">
        <v>10</v>
      </c>
      <c r="AC31" s="19">
        <v>8.9</v>
      </c>
    </row>
    <row r="32" spans="2:29" ht="15.75" thickBot="1" x14ac:dyDescent="0.3">
      <c r="B32" s="30">
        <v>21</v>
      </c>
      <c r="C32" s="17" t="s">
        <v>49</v>
      </c>
      <c r="D32" s="18">
        <v>9720</v>
      </c>
      <c r="E32" s="18">
        <v>2425</v>
      </c>
      <c r="F32" s="18">
        <v>179188</v>
      </c>
      <c r="G32" s="18">
        <v>7677</v>
      </c>
      <c r="H32" s="18">
        <v>0</v>
      </c>
      <c r="I32" s="18">
        <v>3888013</v>
      </c>
      <c r="J32" s="18">
        <v>19833265</v>
      </c>
      <c r="K32" s="18">
        <v>32073596</v>
      </c>
      <c r="L32" s="19">
        <v>17349057</v>
      </c>
      <c r="M32" s="19">
        <v>95856589.697240278</v>
      </c>
      <c r="N32" s="19">
        <v>85869336</v>
      </c>
      <c r="O32" s="19">
        <v>227485792.40239605</v>
      </c>
      <c r="P32" s="19">
        <v>62</v>
      </c>
      <c r="Q32" s="19">
        <v>6242.7</v>
      </c>
      <c r="R32" s="19">
        <v>45376</v>
      </c>
      <c r="S32" s="19">
        <v>230595.86799999999</v>
      </c>
      <c r="T32" s="19">
        <v>3802529</v>
      </c>
      <c r="U32" s="19">
        <v>20672140.912460074</v>
      </c>
      <c r="V32" s="19">
        <v>3145640</v>
      </c>
      <c r="W32" s="19">
        <v>22471677.429749843</v>
      </c>
      <c r="X32" s="19">
        <v>2385</v>
      </c>
      <c r="Y32" s="19">
        <v>52772.101999999999</v>
      </c>
      <c r="Z32" s="19">
        <v>10682948</v>
      </c>
      <c r="AA32" s="19">
        <v>91234468.820999995</v>
      </c>
      <c r="AB32" s="19">
        <v>0</v>
      </c>
      <c r="AC32" s="19">
        <v>0</v>
      </c>
    </row>
    <row r="33" spans="2:29" ht="15.75" thickBot="1" x14ac:dyDescent="0.3">
      <c r="B33" s="30">
        <v>22</v>
      </c>
      <c r="C33" s="17" t="s">
        <v>50</v>
      </c>
      <c r="D33" s="18">
        <v>2498</v>
      </c>
      <c r="E33" s="18">
        <v>574</v>
      </c>
      <c r="F33" s="18">
        <v>13090</v>
      </c>
      <c r="G33" s="18">
        <v>2878</v>
      </c>
      <c r="H33" s="18">
        <v>0</v>
      </c>
      <c r="I33" s="18">
        <v>681651</v>
      </c>
      <c r="J33" s="18">
        <v>51985</v>
      </c>
      <c r="K33" s="18">
        <v>11320668</v>
      </c>
      <c r="L33" s="19">
        <v>82762</v>
      </c>
      <c r="M33" s="19">
        <v>409707.0773</v>
      </c>
      <c r="N33" s="19">
        <v>98932</v>
      </c>
      <c r="O33" s="19">
        <v>365311.77789999999</v>
      </c>
      <c r="P33" s="19">
        <v>0</v>
      </c>
      <c r="Q33" s="19">
        <v>0</v>
      </c>
      <c r="R33" s="19">
        <v>577</v>
      </c>
      <c r="S33" s="19">
        <v>3352.4710399999999</v>
      </c>
      <c r="T33" s="19">
        <v>761768</v>
      </c>
      <c r="U33" s="19">
        <v>2034921.5640699859</v>
      </c>
      <c r="V33" s="19">
        <v>129955</v>
      </c>
      <c r="W33" s="19">
        <v>487562.02302999859</v>
      </c>
      <c r="X33" s="19">
        <v>0</v>
      </c>
      <c r="Y33" s="19">
        <v>0</v>
      </c>
      <c r="Z33" s="19">
        <v>3836697</v>
      </c>
      <c r="AA33" s="19">
        <v>20938981.589000002</v>
      </c>
      <c r="AB33" s="19">
        <v>193</v>
      </c>
      <c r="AC33" s="19">
        <v>120.90632999999998</v>
      </c>
    </row>
    <row r="34" spans="2:29" ht="15.75" thickBot="1" x14ac:dyDescent="0.3">
      <c r="B34" s="30">
        <v>23</v>
      </c>
      <c r="C34" s="17" t="s">
        <v>51</v>
      </c>
      <c r="D34" s="18">
        <v>1056</v>
      </c>
      <c r="E34" s="18">
        <v>174</v>
      </c>
      <c r="F34" s="18">
        <v>25523</v>
      </c>
      <c r="G34" s="18">
        <v>6360</v>
      </c>
      <c r="H34" s="18">
        <v>0</v>
      </c>
      <c r="I34" s="18">
        <v>292152</v>
      </c>
      <c r="J34" s="18">
        <v>4952915</v>
      </c>
      <c r="K34" s="18">
        <v>7133794</v>
      </c>
      <c r="L34" s="19">
        <v>18873994</v>
      </c>
      <c r="M34" s="19">
        <v>30593233.190000001</v>
      </c>
      <c r="N34" s="19">
        <v>3306406</v>
      </c>
      <c r="O34" s="19">
        <v>19154930.646000002</v>
      </c>
      <c r="P34" s="19">
        <v>0</v>
      </c>
      <c r="Q34" s="19">
        <v>0</v>
      </c>
      <c r="R34" s="19">
        <v>25267</v>
      </c>
      <c r="S34" s="19">
        <v>140862.6</v>
      </c>
      <c r="T34" s="19">
        <v>520503</v>
      </c>
      <c r="U34" s="19">
        <v>2139026.5404599998</v>
      </c>
      <c r="V34" s="19">
        <v>482861</v>
      </c>
      <c r="W34" s="19">
        <v>2857596.9601400001</v>
      </c>
      <c r="X34" s="19">
        <v>0</v>
      </c>
      <c r="Y34" s="19">
        <v>0</v>
      </c>
      <c r="Z34" s="19">
        <v>2635272</v>
      </c>
      <c r="AA34" s="19">
        <v>16218022.159</v>
      </c>
      <c r="AB34" s="19">
        <v>0</v>
      </c>
      <c r="AC34" s="19">
        <v>0</v>
      </c>
    </row>
    <row r="35" spans="2:29" ht="15.75" thickBot="1" x14ac:dyDescent="0.3">
      <c r="B35" s="30">
        <v>24</v>
      </c>
      <c r="C35" s="17" t="s">
        <v>52</v>
      </c>
      <c r="D35" s="18">
        <v>2152</v>
      </c>
      <c r="E35" s="18">
        <v>683</v>
      </c>
      <c r="F35" s="18">
        <v>92697</v>
      </c>
      <c r="G35" s="18">
        <v>0</v>
      </c>
      <c r="H35" s="18">
        <v>12120</v>
      </c>
      <c r="I35" s="18">
        <v>7181395</v>
      </c>
      <c r="J35" s="18">
        <v>2975026</v>
      </c>
      <c r="K35" s="18">
        <v>12166170</v>
      </c>
      <c r="L35" s="19">
        <v>2451394</v>
      </c>
      <c r="M35" s="19">
        <v>16584486.835999999</v>
      </c>
      <c r="N35" s="19">
        <v>10835507</v>
      </c>
      <c r="O35" s="19">
        <v>30684184.368999999</v>
      </c>
      <c r="P35" s="19">
        <v>0</v>
      </c>
      <c r="Q35" s="19">
        <v>0</v>
      </c>
      <c r="R35" s="19">
        <v>14547</v>
      </c>
      <c r="S35" s="19">
        <v>78973.040999999997</v>
      </c>
      <c r="T35" s="19">
        <v>450383</v>
      </c>
      <c r="U35" s="19">
        <v>1647429.8113699998</v>
      </c>
      <c r="V35" s="19">
        <v>451640</v>
      </c>
      <c r="W35" s="19">
        <v>2179255.4444100005</v>
      </c>
      <c r="X35" s="19">
        <v>751</v>
      </c>
      <c r="Y35" s="19">
        <v>59741.910409999997</v>
      </c>
      <c r="Z35" s="19">
        <v>5079579</v>
      </c>
      <c r="AA35" s="19">
        <v>16407621.487399999</v>
      </c>
      <c r="AB35" s="19">
        <v>0</v>
      </c>
      <c r="AC35" s="19">
        <v>0</v>
      </c>
    </row>
    <row r="36" spans="2:29" ht="15.75" thickBot="1" x14ac:dyDescent="0.3">
      <c r="B36" s="30">
        <v>25</v>
      </c>
      <c r="C36" s="17" t="s">
        <v>53</v>
      </c>
      <c r="D36" s="18">
        <v>983</v>
      </c>
      <c r="E36" s="18">
        <v>646</v>
      </c>
      <c r="F36" s="18">
        <v>14137</v>
      </c>
      <c r="G36" s="18">
        <v>1457</v>
      </c>
      <c r="H36" s="18">
        <v>0</v>
      </c>
      <c r="I36" s="18">
        <v>697260</v>
      </c>
      <c r="J36" s="18">
        <v>173428</v>
      </c>
      <c r="K36" s="18">
        <v>5357686</v>
      </c>
      <c r="L36" s="19">
        <v>491522</v>
      </c>
      <c r="M36" s="19">
        <v>1896221.6559899999</v>
      </c>
      <c r="N36" s="19">
        <v>82833</v>
      </c>
      <c r="O36" s="19">
        <v>375147.85512999998</v>
      </c>
      <c r="P36" s="19">
        <v>0</v>
      </c>
      <c r="Q36" s="19">
        <v>0</v>
      </c>
      <c r="R36" s="19">
        <v>10267</v>
      </c>
      <c r="S36" s="19">
        <v>45032.677269999993</v>
      </c>
      <c r="T36" s="19">
        <v>571402</v>
      </c>
      <c r="U36" s="19">
        <v>1374066.8380499999</v>
      </c>
      <c r="V36" s="19">
        <v>318398</v>
      </c>
      <c r="W36" s="19">
        <v>426093.71850999998</v>
      </c>
      <c r="X36" s="19">
        <v>0</v>
      </c>
      <c r="Y36" s="19">
        <v>0</v>
      </c>
      <c r="Z36" s="19">
        <v>4401872</v>
      </c>
      <c r="AA36" s="19">
        <v>24208079.366</v>
      </c>
      <c r="AB36" s="19">
        <v>0</v>
      </c>
      <c r="AC36" s="19">
        <v>0</v>
      </c>
    </row>
    <row r="37" spans="2:29" ht="15.75" thickBot="1" x14ac:dyDescent="0.3">
      <c r="B37" s="30">
        <v>26</v>
      </c>
      <c r="C37" s="17" t="s">
        <v>54</v>
      </c>
      <c r="D37" s="18">
        <v>978</v>
      </c>
      <c r="E37" s="18">
        <v>486</v>
      </c>
      <c r="F37" s="18">
        <v>9267</v>
      </c>
      <c r="G37" s="18">
        <v>0</v>
      </c>
      <c r="H37" s="18">
        <v>0</v>
      </c>
      <c r="I37" s="18">
        <v>152192</v>
      </c>
      <c r="J37" s="18">
        <v>0</v>
      </c>
      <c r="K37" s="18">
        <v>5539738</v>
      </c>
      <c r="L37" s="19">
        <v>0</v>
      </c>
      <c r="M37" s="19">
        <v>0</v>
      </c>
      <c r="N37" s="19">
        <v>0</v>
      </c>
      <c r="O37" s="19">
        <v>0</v>
      </c>
      <c r="P37" s="19">
        <v>0</v>
      </c>
      <c r="Q37" s="19">
        <v>0</v>
      </c>
      <c r="R37" s="19">
        <v>0</v>
      </c>
      <c r="S37" s="19">
        <v>0</v>
      </c>
      <c r="T37" s="19">
        <v>537950</v>
      </c>
      <c r="U37" s="19">
        <v>1189335.4210000001</v>
      </c>
      <c r="V37" s="19">
        <v>52870</v>
      </c>
      <c r="W37" s="19">
        <v>167413.68799999999</v>
      </c>
      <c r="X37" s="19">
        <v>0</v>
      </c>
      <c r="Y37" s="19">
        <v>0</v>
      </c>
      <c r="Z37" s="19">
        <v>3185759</v>
      </c>
      <c r="AA37" s="19">
        <v>16014543.142000001</v>
      </c>
      <c r="AB37" s="19">
        <v>0</v>
      </c>
      <c r="AC37" s="19">
        <v>0</v>
      </c>
    </row>
    <row r="38" spans="2:29" ht="15.75" thickBot="1" x14ac:dyDescent="0.3">
      <c r="B38" s="30">
        <v>27</v>
      </c>
      <c r="C38" s="17" t="s">
        <v>55</v>
      </c>
      <c r="D38" s="18">
        <v>1616</v>
      </c>
      <c r="E38" s="18">
        <v>577</v>
      </c>
      <c r="F38" s="18">
        <v>5277</v>
      </c>
      <c r="G38" s="18">
        <v>162</v>
      </c>
      <c r="H38" s="18">
        <v>47249</v>
      </c>
      <c r="I38" s="18">
        <v>7032</v>
      </c>
      <c r="J38" s="18">
        <v>8462</v>
      </c>
      <c r="K38" s="18">
        <v>5072404</v>
      </c>
      <c r="L38" s="19">
        <v>20485</v>
      </c>
      <c r="M38" s="19">
        <v>157218.39953</v>
      </c>
      <c r="N38" s="19">
        <v>8363</v>
      </c>
      <c r="O38" s="19">
        <v>114898.18799999999</v>
      </c>
      <c r="P38" s="19">
        <v>0</v>
      </c>
      <c r="Q38" s="19">
        <v>0</v>
      </c>
      <c r="R38" s="19">
        <v>310</v>
      </c>
      <c r="S38" s="19">
        <v>2435.4</v>
      </c>
      <c r="T38" s="19">
        <v>645097</v>
      </c>
      <c r="U38" s="19">
        <v>1817017.9153399987</v>
      </c>
      <c r="V38" s="19">
        <v>73813</v>
      </c>
      <c r="W38" s="19">
        <v>391489.29598999978</v>
      </c>
      <c r="X38" s="19">
        <v>0</v>
      </c>
      <c r="Y38" s="19">
        <v>0</v>
      </c>
      <c r="Z38" s="19">
        <v>3158811</v>
      </c>
      <c r="AA38" s="19">
        <v>17228191.196849998</v>
      </c>
      <c r="AB38" s="19">
        <v>0</v>
      </c>
      <c r="AC38" s="19">
        <v>0</v>
      </c>
    </row>
    <row r="39" spans="2:29" ht="15.75" thickBot="1" x14ac:dyDescent="0.3">
      <c r="B39" s="30">
        <v>28</v>
      </c>
      <c r="C39" s="17" t="s">
        <v>56</v>
      </c>
      <c r="D39" s="18">
        <v>2066</v>
      </c>
      <c r="E39" s="18">
        <v>617</v>
      </c>
      <c r="F39" s="18">
        <v>75480</v>
      </c>
      <c r="G39" s="18">
        <v>0</v>
      </c>
      <c r="H39" s="18">
        <v>193058</v>
      </c>
      <c r="I39" s="18">
        <v>713043</v>
      </c>
      <c r="J39" s="18">
        <v>4886234</v>
      </c>
      <c r="K39" s="18">
        <v>37428288</v>
      </c>
      <c r="L39" s="19">
        <v>19396479</v>
      </c>
      <c r="M39" s="19">
        <v>34030033.066420004</v>
      </c>
      <c r="N39" s="19">
        <v>4576636</v>
      </c>
      <c r="O39" s="19">
        <v>33880356.959569998</v>
      </c>
      <c r="P39" s="19">
        <v>0</v>
      </c>
      <c r="Q39" s="19">
        <v>0</v>
      </c>
      <c r="R39" s="19">
        <v>32034</v>
      </c>
      <c r="S39" s="19">
        <v>181773.13263000001</v>
      </c>
      <c r="T39" s="19">
        <v>1869732</v>
      </c>
      <c r="U39" s="19">
        <v>5153217.165</v>
      </c>
      <c r="V39" s="19">
        <v>2534596</v>
      </c>
      <c r="W39" s="19">
        <v>8155454.7120000003</v>
      </c>
      <c r="X39" s="19">
        <v>0</v>
      </c>
      <c r="Y39" s="19">
        <v>0</v>
      </c>
      <c r="Z39" s="19">
        <v>8136871</v>
      </c>
      <c r="AA39" s="19">
        <v>47692528.892719984</v>
      </c>
      <c r="AB39" s="19">
        <v>0</v>
      </c>
      <c r="AC39" s="19">
        <v>0</v>
      </c>
    </row>
    <row r="40" spans="2:29" ht="15.75" thickBot="1" x14ac:dyDescent="0.3">
      <c r="B40" s="30">
        <v>29</v>
      </c>
      <c r="C40" s="17" t="s">
        <v>57</v>
      </c>
      <c r="D40" s="18">
        <v>0</v>
      </c>
      <c r="E40" s="18">
        <v>0</v>
      </c>
      <c r="F40" s="18">
        <v>0</v>
      </c>
      <c r="G40" s="18">
        <v>0</v>
      </c>
      <c r="H40" s="18">
        <v>0</v>
      </c>
      <c r="I40" s="18">
        <v>2494</v>
      </c>
      <c r="J40" s="18">
        <v>0</v>
      </c>
      <c r="K40" s="18">
        <v>167135</v>
      </c>
      <c r="L40" s="19">
        <v>0</v>
      </c>
      <c r="M40" s="19">
        <v>0</v>
      </c>
      <c r="N40" s="19">
        <v>0</v>
      </c>
      <c r="O40" s="19">
        <v>0</v>
      </c>
      <c r="P40" s="19">
        <v>0</v>
      </c>
      <c r="Q40" s="19">
        <v>0</v>
      </c>
      <c r="R40" s="19">
        <v>0</v>
      </c>
      <c r="S40" s="19">
        <v>0</v>
      </c>
      <c r="T40" s="19">
        <v>9926</v>
      </c>
      <c r="U40" s="19">
        <v>20193.449430000001</v>
      </c>
      <c r="V40" s="19">
        <v>3179</v>
      </c>
      <c r="W40" s="19">
        <v>9236.0843000000004</v>
      </c>
      <c r="X40" s="19">
        <v>0</v>
      </c>
      <c r="Y40" s="19">
        <v>0</v>
      </c>
      <c r="Z40" s="19">
        <v>58301</v>
      </c>
      <c r="AA40" s="19">
        <v>306432.65000000002</v>
      </c>
      <c r="AB40" s="19">
        <v>0</v>
      </c>
      <c r="AC40" s="19">
        <v>0</v>
      </c>
    </row>
    <row r="41" spans="2:29" ht="15.75" thickBot="1" x14ac:dyDescent="0.3">
      <c r="B41" s="30">
        <v>30</v>
      </c>
      <c r="C41" s="17" t="s">
        <v>58</v>
      </c>
      <c r="D41" s="18">
        <v>391</v>
      </c>
      <c r="E41" s="18">
        <v>26</v>
      </c>
      <c r="F41" s="18">
        <v>2762759</v>
      </c>
      <c r="G41" s="18">
        <v>0</v>
      </c>
      <c r="H41" s="18">
        <v>1595</v>
      </c>
      <c r="I41" s="18">
        <v>50520</v>
      </c>
      <c r="J41" s="18">
        <v>4691026</v>
      </c>
      <c r="K41" s="18">
        <v>1592307.912</v>
      </c>
      <c r="L41" s="19">
        <v>4363709</v>
      </c>
      <c r="M41" s="19">
        <v>26137957.91725</v>
      </c>
      <c r="N41" s="19">
        <v>7878116</v>
      </c>
      <c r="O41" s="19">
        <v>45477582.860029995</v>
      </c>
      <c r="P41" s="19">
        <v>0</v>
      </c>
      <c r="Q41" s="19">
        <v>0</v>
      </c>
      <c r="R41" s="19">
        <v>30658</v>
      </c>
      <c r="S41" s="19">
        <v>166016.88946999999</v>
      </c>
      <c r="T41" s="19">
        <v>94624</v>
      </c>
      <c r="U41" s="19">
        <v>355648.54767</v>
      </c>
      <c r="V41" s="19">
        <v>64189</v>
      </c>
      <c r="W41" s="19">
        <v>410656.63978999999</v>
      </c>
      <c r="X41" s="19">
        <v>42</v>
      </c>
      <c r="Y41" s="19">
        <v>2813.86</v>
      </c>
      <c r="Z41" s="19">
        <v>319716</v>
      </c>
      <c r="AA41" s="19">
        <v>1832521.4900199999</v>
      </c>
      <c r="AB41" s="19">
        <v>0</v>
      </c>
      <c r="AC41" s="19">
        <v>0</v>
      </c>
    </row>
    <row r="42" spans="2:29" ht="15.75" thickBot="1" x14ac:dyDescent="0.3">
      <c r="B42" s="30">
        <v>31</v>
      </c>
      <c r="C42" s="17" t="s">
        <v>59</v>
      </c>
      <c r="D42" s="18">
        <v>923</v>
      </c>
      <c r="E42" s="18">
        <v>353</v>
      </c>
      <c r="F42" s="18">
        <v>14378</v>
      </c>
      <c r="G42" s="18">
        <v>0</v>
      </c>
      <c r="H42" s="18">
        <v>31611</v>
      </c>
      <c r="I42" s="18">
        <v>123225</v>
      </c>
      <c r="J42" s="18">
        <v>328351</v>
      </c>
      <c r="K42" s="18">
        <v>4217880</v>
      </c>
      <c r="L42" s="19">
        <v>415238</v>
      </c>
      <c r="M42" s="19">
        <v>1926894.6869999999</v>
      </c>
      <c r="N42" s="19">
        <v>574581</v>
      </c>
      <c r="O42" s="19">
        <v>2452779.0210000002</v>
      </c>
      <c r="P42" s="19">
        <v>0</v>
      </c>
      <c r="Q42" s="19">
        <v>0</v>
      </c>
      <c r="R42" s="19">
        <v>0</v>
      </c>
      <c r="S42" s="19">
        <v>0</v>
      </c>
      <c r="T42" s="19">
        <v>835825</v>
      </c>
      <c r="U42" s="19">
        <v>2805202.03149</v>
      </c>
      <c r="V42" s="19">
        <v>149698</v>
      </c>
      <c r="W42" s="19">
        <v>905575.59605999989</v>
      </c>
      <c r="X42" s="19">
        <v>0</v>
      </c>
      <c r="Y42" s="19">
        <v>0</v>
      </c>
      <c r="Z42" s="19">
        <v>2284037</v>
      </c>
      <c r="AA42" s="19">
        <v>12619450.665999999</v>
      </c>
      <c r="AB42" s="19">
        <v>0</v>
      </c>
      <c r="AC42" s="19">
        <v>0</v>
      </c>
    </row>
    <row r="43" spans="2:29" ht="15.75" thickBot="1" x14ac:dyDescent="0.3">
      <c r="B43" s="30">
        <v>32</v>
      </c>
      <c r="C43" s="17" t="s">
        <v>60</v>
      </c>
      <c r="D43" s="18">
        <v>497</v>
      </c>
      <c r="E43" s="18">
        <v>640</v>
      </c>
      <c r="F43" s="18">
        <v>611</v>
      </c>
      <c r="G43" s="18">
        <v>0</v>
      </c>
      <c r="H43" s="18">
        <v>0</v>
      </c>
      <c r="I43" s="18">
        <v>210185</v>
      </c>
      <c r="J43" s="18">
        <v>17937</v>
      </c>
      <c r="K43" s="18">
        <v>2706506</v>
      </c>
      <c r="L43" s="19">
        <v>39101</v>
      </c>
      <c r="M43" s="19">
        <v>182762.41897</v>
      </c>
      <c r="N43" s="19">
        <v>14445</v>
      </c>
      <c r="O43" s="19">
        <v>90321.780610000002</v>
      </c>
      <c r="P43" s="19">
        <v>0</v>
      </c>
      <c r="Q43" s="19">
        <v>0</v>
      </c>
      <c r="R43" s="19">
        <v>1733</v>
      </c>
      <c r="S43" s="19">
        <v>7177.29396</v>
      </c>
      <c r="T43" s="19">
        <v>256721</v>
      </c>
      <c r="U43" s="19">
        <v>1049866.6666900001</v>
      </c>
      <c r="V43" s="19">
        <v>23825</v>
      </c>
      <c r="W43" s="19">
        <v>179585.6397</v>
      </c>
      <c r="X43" s="19">
        <v>84</v>
      </c>
      <c r="Y43" s="19">
        <v>268.64299999999997</v>
      </c>
      <c r="Z43" s="19">
        <v>3779839</v>
      </c>
      <c r="AA43" s="19">
        <v>21271657.050000001</v>
      </c>
      <c r="AB43" s="19">
        <v>0</v>
      </c>
      <c r="AC43" s="19">
        <v>0</v>
      </c>
    </row>
    <row r="44" spans="2:29" ht="15.75" thickBot="1" x14ac:dyDescent="0.3">
      <c r="B44" s="30">
        <v>33</v>
      </c>
      <c r="C44" s="17" t="s">
        <v>61</v>
      </c>
      <c r="D44" s="18">
        <v>1257</v>
      </c>
      <c r="E44" s="18">
        <v>113</v>
      </c>
      <c r="F44" s="18">
        <v>219604</v>
      </c>
      <c r="G44" s="18">
        <v>69963</v>
      </c>
      <c r="H44" s="18">
        <v>108346</v>
      </c>
      <c r="I44" s="18">
        <v>629319115</v>
      </c>
      <c r="J44" s="18">
        <v>3080711</v>
      </c>
      <c r="K44" s="18">
        <v>5325107</v>
      </c>
      <c r="L44" s="19">
        <v>17564973</v>
      </c>
      <c r="M44" s="19">
        <v>28150296.43871</v>
      </c>
      <c r="N44" s="19">
        <v>2046834</v>
      </c>
      <c r="O44" s="19">
        <v>13400979.384240001</v>
      </c>
      <c r="P44" s="19">
        <v>0</v>
      </c>
      <c r="Q44" s="19">
        <v>0</v>
      </c>
      <c r="R44" s="19">
        <v>8008</v>
      </c>
      <c r="S44" s="19">
        <v>43418.2</v>
      </c>
      <c r="T44" s="19">
        <v>369793</v>
      </c>
      <c r="U44" s="19">
        <v>1487810.6207499926</v>
      </c>
      <c r="V44" s="19">
        <v>82865</v>
      </c>
      <c r="W44" s="19">
        <v>524953.03309999744</v>
      </c>
      <c r="X44" s="19">
        <v>17</v>
      </c>
      <c r="Y44" s="19">
        <v>306.06200000000001</v>
      </c>
      <c r="Z44" s="19">
        <v>1386040</v>
      </c>
      <c r="AA44" s="19">
        <v>9185903.1999999993</v>
      </c>
      <c r="AB44" s="19">
        <v>0</v>
      </c>
      <c r="AC44" s="19">
        <v>0</v>
      </c>
    </row>
    <row r="45" spans="2:29" ht="15.75" thickBot="1" x14ac:dyDescent="0.3">
      <c r="B45" s="13" t="s">
        <v>62</v>
      </c>
      <c r="C45" s="16"/>
      <c r="D45" s="14"/>
      <c r="E45" s="14"/>
      <c r="F45" s="14"/>
      <c r="G45" s="14"/>
      <c r="H45" s="14"/>
      <c r="I45" s="14"/>
      <c r="J45" s="14"/>
      <c r="K45" s="14"/>
      <c r="L45" s="15"/>
      <c r="M45" s="15"/>
      <c r="N45" s="15"/>
      <c r="O45" s="15"/>
      <c r="P45" s="15"/>
      <c r="Q45" s="15"/>
      <c r="R45" s="15"/>
      <c r="S45" s="15"/>
      <c r="T45" s="19"/>
      <c r="U45" s="19"/>
      <c r="V45" s="19"/>
      <c r="W45" s="19"/>
      <c r="X45" s="19"/>
      <c r="Y45" s="19"/>
      <c r="Z45" s="19"/>
      <c r="AA45" s="19"/>
      <c r="AB45" s="19"/>
      <c r="AC45" s="19"/>
    </row>
    <row r="46" spans="2:29" ht="15.75" thickBot="1" x14ac:dyDescent="0.3">
      <c r="B46" s="30">
        <v>34</v>
      </c>
      <c r="C46" s="17" t="s">
        <v>63</v>
      </c>
      <c r="D46" s="18">
        <v>0</v>
      </c>
      <c r="E46" s="18">
        <v>0</v>
      </c>
      <c r="F46" s="18">
        <v>11160</v>
      </c>
      <c r="G46" s="18">
        <v>0</v>
      </c>
      <c r="H46" s="18">
        <v>0</v>
      </c>
      <c r="I46" s="18">
        <v>0</v>
      </c>
      <c r="J46" s="18">
        <v>1305768</v>
      </c>
      <c r="K46" s="18">
        <v>0</v>
      </c>
      <c r="L46" s="19">
        <v>1770170</v>
      </c>
      <c r="M46" s="19">
        <v>17575978.311999999</v>
      </c>
      <c r="N46" s="19">
        <v>4480828</v>
      </c>
      <c r="O46" s="19">
        <v>44468253.810000002</v>
      </c>
      <c r="P46" s="19">
        <v>0</v>
      </c>
      <c r="Q46" s="19">
        <v>0</v>
      </c>
      <c r="R46" s="19">
        <v>0</v>
      </c>
      <c r="S46" s="19">
        <v>0</v>
      </c>
      <c r="T46" s="19">
        <v>0</v>
      </c>
      <c r="U46" s="19">
        <v>0</v>
      </c>
      <c r="V46" s="19">
        <v>0</v>
      </c>
      <c r="W46" s="19">
        <v>0</v>
      </c>
      <c r="X46" s="19">
        <v>0</v>
      </c>
      <c r="Y46" s="19">
        <v>0</v>
      </c>
      <c r="Z46" s="19">
        <v>0</v>
      </c>
      <c r="AA46" s="19">
        <v>0</v>
      </c>
      <c r="AB46" s="19">
        <v>0</v>
      </c>
      <c r="AC46" s="19">
        <v>0</v>
      </c>
    </row>
    <row r="47" spans="2:29" ht="15.75" thickBot="1" x14ac:dyDescent="0.3">
      <c r="B47" s="30">
        <v>35</v>
      </c>
      <c r="C47" s="17" t="s">
        <v>64</v>
      </c>
      <c r="D47" s="18">
        <v>0</v>
      </c>
      <c r="E47" s="18">
        <v>0</v>
      </c>
      <c r="F47" s="18">
        <v>0</v>
      </c>
      <c r="G47" s="18">
        <v>0</v>
      </c>
      <c r="H47" s="18">
        <v>0</v>
      </c>
      <c r="I47" s="18">
        <v>0</v>
      </c>
      <c r="J47" s="18">
        <v>0</v>
      </c>
      <c r="K47" s="18">
        <v>0</v>
      </c>
      <c r="L47" s="19">
        <v>0</v>
      </c>
      <c r="M47" s="19">
        <v>0</v>
      </c>
      <c r="N47" s="19">
        <v>0</v>
      </c>
      <c r="O47" s="19">
        <v>0</v>
      </c>
      <c r="P47" s="19">
        <v>0</v>
      </c>
      <c r="Q47" s="19">
        <v>0</v>
      </c>
      <c r="R47" s="19">
        <v>0</v>
      </c>
      <c r="S47" s="19">
        <v>0</v>
      </c>
      <c r="T47" s="19">
        <v>0</v>
      </c>
      <c r="U47" s="19">
        <v>0</v>
      </c>
      <c r="V47" s="19">
        <v>0</v>
      </c>
      <c r="W47" s="19">
        <v>0</v>
      </c>
      <c r="X47" s="19">
        <v>0</v>
      </c>
      <c r="Y47" s="19">
        <v>0</v>
      </c>
      <c r="Z47" s="19">
        <v>0</v>
      </c>
      <c r="AA47" s="19">
        <v>0</v>
      </c>
      <c r="AB47" s="19">
        <v>0</v>
      </c>
      <c r="AC47" s="19">
        <v>0</v>
      </c>
    </row>
    <row r="48" spans="2:29" ht="15.75" thickBot="1" x14ac:dyDescent="0.3">
      <c r="B48" s="30">
        <v>36</v>
      </c>
      <c r="C48" s="17" t="s">
        <v>65</v>
      </c>
      <c r="D48" s="18">
        <v>0</v>
      </c>
      <c r="E48" s="18">
        <v>0</v>
      </c>
      <c r="F48" s="18">
        <v>0</v>
      </c>
      <c r="G48" s="18">
        <v>0</v>
      </c>
      <c r="H48" s="18">
        <v>0</v>
      </c>
      <c r="I48" s="18">
        <v>0</v>
      </c>
      <c r="J48" s="18">
        <v>0</v>
      </c>
      <c r="K48" s="18">
        <v>1545</v>
      </c>
      <c r="L48" s="19">
        <v>0</v>
      </c>
      <c r="M48" s="19">
        <v>0</v>
      </c>
      <c r="N48" s="19">
        <v>0</v>
      </c>
      <c r="O48" s="19">
        <v>0</v>
      </c>
      <c r="P48" s="19">
        <v>0</v>
      </c>
      <c r="Q48" s="19">
        <v>0</v>
      </c>
      <c r="R48" s="19">
        <v>0</v>
      </c>
      <c r="S48" s="19">
        <v>0</v>
      </c>
      <c r="T48" s="19">
        <v>555</v>
      </c>
      <c r="U48" s="19">
        <v>1473.2840000000001</v>
      </c>
      <c r="V48" s="19">
        <v>1077</v>
      </c>
      <c r="W48" s="19">
        <v>3975.3910000000001</v>
      </c>
      <c r="X48" s="19">
        <v>0</v>
      </c>
      <c r="Y48" s="19">
        <v>0</v>
      </c>
      <c r="Z48" s="19">
        <v>1081</v>
      </c>
      <c r="AA48" s="19">
        <v>5132</v>
      </c>
      <c r="AB48" s="19">
        <v>0</v>
      </c>
      <c r="AC48" s="19">
        <v>0</v>
      </c>
    </row>
    <row r="49" spans="1:29" ht="15.75" thickBot="1" x14ac:dyDescent="0.3">
      <c r="B49" s="30">
        <v>37</v>
      </c>
      <c r="C49" s="17" t="s">
        <v>66</v>
      </c>
      <c r="D49" s="18">
        <v>0</v>
      </c>
      <c r="E49" s="18">
        <v>0</v>
      </c>
      <c r="F49" s="18">
        <v>0</v>
      </c>
      <c r="G49" s="18">
        <v>0</v>
      </c>
      <c r="H49" s="18">
        <v>0</v>
      </c>
      <c r="I49" s="18">
        <v>0</v>
      </c>
      <c r="J49" s="18">
        <v>0</v>
      </c>
      <c r="K49" s="18">
        <v>433</v>
      </c>
      <c r="L49" s="19">
        <v>0</v>
      </c>
      <c r="M49" s="19">
        <v>0</v>
      </c>
      <c r="N49" s="19">
        <v>0</v>
      </c>
      <c r="O49" s="19">
        <v>0</v>
      </c>
      <c r="P49" s="19">
        <v>0</v>
      </c>
      <c r="Q49" s="19">
        <v>0</v>
      </c>
      <c r="R49" s="19">
        <v>0</v>
      </c>
      <c r="S49" s="19">
        <v>0</v>
      </c>
      <c r="T49" s="19">
        <v>96</v>
      </c>
      <c r="U49" s="19">
        <v>201.54292000000001</v>
      </c>
      <c r="V49" s="19">
        <v>0</v>
      </c>
      <c r="W49" s="19">
        <v>0</v>
      </c>
      <c r="X49" s="19">
        <v>0</v>
      </c>
      <c r="Y49" s="19">
        <v>0</v>
      </c>
      <c r="Z49" s="19">
        <v>529</v>
      </c>
      <c r="AA49" s="19">
        <v>4910.2</v>
      </c>
      <c r="AB49" s="19">
        <v>0</v>
      </c>
      <c r="AC49" s="19">
        <v>0</v>
      </c>
    </row>
    <row r="50" spans="1:29" ht="15.75" thickBot="1" x14ac:dyDescent="0.3">
      <c r="B50" s="30">
        <v>38</v>
      </c>
      <c r="C50" s="17" t="s">
        <v>67</v>
      </c>
      <c r="D50" s="18">
        <v>0</v>
      </c>
      <c r="E50" s="18">
        <v>0</v>
      </c>
      <c r="F50" s="18">
        <v>0</v>
      </c>
      <c r="G50" s="18">
        <v>0</v>
      </c>
      <c r="H50" s="18">
        <v>0</v>
      </c>
      <c r="I50" s="18">
        <v>0</v>
      </c>
      <c r="J50" s="18">
        <v>281242</v>
      </c>
      <c r="K50" s="18">
        <v>0</v>
      </c>
      <c r="L50" s="19">
        <v>169498</v>
      </c>
      <c r="M50" s="19">
        <v>1189085.1905700241</v>
      </c>
      <c r="N50" s="19">
        <v>348692</v>
      </c>
      <c r="O50" s="19">
        <v>4707873.4208103726</v>
      </c>
      <c r="P50" s="19">
        <v>0</v>
      </c>
      <c r="Q50" s="19">
        <v>0</v>
      </c>
      <c r="R50" s="19">
        <v>397</v>
      </c>
      <c r="S50" s="19">
        <v>3421</v>
      </c>
      <c r="T50" s="19">
        <v>0</v>
      </c>
      <c r="U50" s="19">
        <v>0</v>
      </c>
      <c r="V50" s="19">
        <v>0</v>
      </c>
      <c r="W50" s="19">
        <v>0</v>
      </c>
      <c r="X50" s="19">
        <v>0</v>
      </c>
      <c r="Y50" s="19">
        <v>0</v>
      </c>
      <c r="Z50" s="19">
        <v>0</v>
      </c>
      <c r="AA50" s="19">
        <v>0</v>
      </c>
      <c r="AB50" s="19">
        <v>0</v>
      </c>
      <c r="AC50" s="19">
        <v>0</v>
      </c>
    </row>
    <row r="51" spans="1:29" ht="15.75" thickBot="1" x14ac:dyDescent="0.3">
      <c r="B51" s="30">
        <v>39</v>
      </c>
      <c r="C51" s="17" t="s">
        <v>68</v>
      </c>
      <c r="D51" s="18">
        <v>413</v>
      </c>
      <c r="E51" s="18">
        <v>304</v>
      </c>
      <c r="F51" s="18">
        <v>656</v>
      </c>
      <c r="G51" s="18">
        <v>101</v>
      </c>
      <c r="H51" s="18">
        <v>0</v>
      </c>
      <c r="I51" s="18">
        <v>9610</v>
      </c>
      <c r="J51" s="18">
        <v>330605</v>
      </c>
      <c r="K51" s="18">
        <v>1594968</v>
      </c>
      <c r="L51" s="19">
        <v>317121</v>
      </c>
      <c r="M51" s="19">
        <v>1529619.3606199999</v>
      </c>
      <c r="N51" s="19">
        <v>256898</v>
      </c>
      <c r="O51" s="19">
        <v>1717977.4246199999</v>
      </c>
      <c r="P51" s="19">
        <v>0</v>
      </c>
      <c r="Q51" s="19">
        <v>0</v>
      </c>
      <c r="R51" s="19">
        <v>864</v>
      </c>
      <c r="S51" s="19">
        <v>2766.6</v>
      </c>
      <c r="T51" s="19">
        <v>119053</v>
      </c>
      <c r="U51" s="19">
        <v>311378.34431999869</v>
      </c>
      <c r="V51" s="19">
        <v>69209</v>
      </c>
      <c r="W51" s="19">
        <v>216262.05848000007</v>
      </c>
      <c r="X51" s="19">
        <v>0</v>
      </c>
      <c r="Y51" s="19">
        <v>0</v>
      </c>
      <c r="Z51" s="19">
        <v>551317</v>
      </c>
      <c r="AA51" s="19">
        <v>3448329.3580000279</v>
      </c>
      <c r="AB51" s="19">
        <v>0</v>
      </c>
      <c r="AC51" s="19">
        <v>0</v>
      </c>
    </row>
    <row r="52" spans="1:29" ht="15.75" thickBot="1" x14ac:dyDescent="0.3">
      <c r="B52" s="30">
        <v>40</v>
      </c>
      <c r="C52" s="17" t="s">
        <v>69</v>
      </c>
      <c r="D52" s="18">
        <v>12</v>
      </c>
      <c r="E52" s="18">
        <v>3</v>
      </c>
      <c r="F52" s="18">
        <v>0</v>
      </c>
      <c r="G52" s="18">
        <v>0</v>
      </c>
      <c r="H52" s="18">
        <v>0</v>
      </c>
      <c r="I52" s="18">
        <v>249</v>
      </c>
      <c r="J52" s="18">
        <v>0</v>
      </c>
      <c r="K52" s="18">
        <v>101156</v>
      </c>
      <c r="L52" s="19">
        <v>0</v>
      </c>
      <c r="M52" s="19">
        <v>0</v>
      </c>
      <c r="N52" s="19">
        <v>0</v>
      </c>
      <c r="O52" s="19">
        <v>0</v>
      </c>
      <c r="P52" s="19">
        <v>0</v>
      </c>
      <c r="Q52" s="19">
        <v>0</v>
      </c>
      <c r="R52" s="19">
        <v>0</v>
      </c>
      <c r="S52" s="19">
        <v>0</v>
      </c>
      <c r="T52" s="19">
        <v>16242</v>
      </c>
      <c r="U52" s="19">
        <v>65799.634179999979</v>
      </c>
      <c r="V52" s="19">
        <v>18955</v>
      </c>
      <c r="W52" s="19">
        <v>55913.715629999606</v>
      </c>
      <c r="X52" s="19">
        <v>0</v>
      </c>
      <c r="Y52" s="19">
        <v>0</v>
      </c>
      <c r="Z52" s="19">
        <v>19996</v>
      </c>
      <c r="AA52" s="19">
        <v>133661.1</v>
      </c>
      <c r="AB52" s="19">
        <v>0</v>
      </c>
      <c r="AC52" s="19">
        <v>0</v>
      </c>
    </row>
    <row r="53" spans="1:29" ht="15.75" thickBot="1" x14ac:dyDescent="0.3">
      <c r="B53" s="30">
        <v>41</v>
      </c>
      <c r="C53" s="17" t="s">
        <v>70</v>
      </c>
      <c r="D53" s="18">
        <v>2</v>
      </c>
      <c r="E53" s="18">
        <v>0</v>
      </c>
      <c r="F53" s="18">
        <v>0</v>
      </c>
      <c r="G53" s="18">
        <v>0</v>
      </c>
      <c r="H53" s="18">
        <v>0</v>
      </c>
      <c r="I53" s="18">
        <v>0</v>
      </c>
      <c r="J53" s="18">
        <v>0</v>
      </c>
      <c r="K53" s="18">
        <v>23668</v>
      </c>
      <c r="L53" s="19">
        <v>0</v>
      </c>
      <c r="M53" s="19">
        <v>0</v>
      </c>
      <c r="N53" s="19">
        <v>0</v>
      </c>
      <c r="O53" s="19">
        <v>0</v>
      </c>
      <c r="P53" s="19">
        <v>0</v>
      </c>
      <c r="Q53" s="19">
        <v>0</v>
      </c>
      <c r="R53" s="19">
        <v>0</v>
      </c>
      <c r="S53" s="19">
        <v>0</v>
      </c>
      <c r="T53" s="19">
        <v>968</v>
      </c>
      <c r="U53" s="19">
        <v>3884.14689</v>
      </c>
      <c r="V53" s="19">
        <v>108</v>
      </c>
      <c r="W53" s="19">
        <v>335.54869000000002</v>
      </c>
      <c r="X53" s="19">
        <v>0</v>
      </c>
      <c r="Y53" s="19">
        <v>0</v>
      </c>
      <c r="Z53" s="19">
        <v>1453</v>
      </c>
      <c r="AA53" s="19">
        <v>9080.4</v>
      </c>
      <c r="AB53" s="19">
        <v>0</v>
      </c>
      <c r="AC53" s="19">
        <v>0</v>
      </c>
    </row>
    <row r="54" spans="1:29" ht="15.75" thickBot="1" x14ac:dyDescent="0.3">
      <c r="B54" s="30">
        <v>42</v>
      </c>
      <c r="C54" s="17" t="s">
        <v>71</v>
      </c>
      <c r="D54" s="37">
        <v>54</v>
      </c>
      <c r="E54" s="18">
        <v>25</v>
      </c>
      <c r="F54" s="18">
        <v>0</v>
      </c>
      <c r="G54" s="18">
        <v>0</v>
      </c>
      <c r="H54" s="18">
        <v>0</v>
      </c>
      <c r="I54" s="18">
        <v>6303</v>
      </c>
      <c r="J54" s="18">
        <v>1007489</v>
      </c>
      <c r="K54" s="18">
        <v>1020006</v>
      </c>
      <c r="L54" s="19">
        <v>1430186</v>
      </c>
      <c r="M54" s="19">
        <v>6631387.9358299943</v>
      </c>
      <c r="N54" s="19">
        <v>4173727</v>
      </c>
      <c r="O54" s="19">
        <v>13981877.811820028</v>
      </c>
      <c r="P54" s="19">
        <v>0</v>
      </c>
      <c r="Q54" s="19">
        <v>0</v>
      </c>
      <c r="R54" s="19">
        <v>2256</v>
      </c>
      <c r="S54" s="19">
        <v>20851.096570000002</v>
      </c>
      <c r="T54" s="19">
        <v>304326</v>
      </c>
      <c r="U54" s="19">
        <v>1728792.8094899999</v>
      </c>
      <c r="V54" s="19">
        <v>0</v>
      </c>
      <c r="W54" s="19">
        <v>0</v>
      </c>
      <c r="X54" s="19">
        <v>0</v>
      </c>
      <c r="Y54" s="19">
        <v>0</v>
      </c>
      <c r="Z54" s="19">
        <v>230513</v>
      </c>
      <c r="AA54" s="19">
        <v>1498813.5362500006</v>
      </c>
      <c r="AB54" s="19">
        <v>0</v>
      </c>
      <c r="AC54" s="19">
        <v>0</v>
      </c>
    </row>
    <row r="55" spans="1:29" ht="15.75" thickBot="1" x14ac:dyDescent="0.3">
      <c r="B55" s="30">
        <v>43</v>
      </c>
      <c r="C55" s="17" t="s">
        <v>72</v>
      </c>
      <c r="D55" s="18">
        <v>0</v>
      </c>
      <c r="E55" s="18">
        <v>0</v>
      </c>
      <c r="F55" s="18">
        <v>0</v>
      </c>
      <c r="G55" s="18">
        <v>0</v>
      </c>
      <c r="H55" s="18">
        <v>0</v>
      </c>
      <c r="I55" s="18">
        <v>0</v>
      </c>
      <c r="J55" s="18">
        <v>0</v>
      </c>
      <c r="K55" s="18">
        <v>2135</v>
      </c>
      <c r="L55" s="19">
        <v>0</v>
      </c>
      <c r="M55" s="19">
        <v>0</v>
      </c>
      <c r="N55" s="19">
        <v>0</v>
      </c>
      <c r="O55" s="19">
        <v>0</v>
      </c>
      <c r="P55" s="19">
        <v>0</v>
      </c>
      <c r="Q55" s="19">
        <v>0</v>
      </c>
      <c r="R55" s="19">
        <v>0</v>
      </c>
      <c r="S55" s="19">
        <v>0</v>
      </c>
      <c r="T55" s="19">
        <v>1516</v>
      </c>
      <c r="U55" s="19">
        <v>5368.625</v>
      </c>
      <c r="V55" s="19">
        <v>117</v>
      </c>
      <c r="W55" s="19">
        <v>342.14100000000002</v>
      </c>
      <c r="X55" s="19">
        <v>0</v>
      </c>
      <c r="Y55" s="19">
        <v>0</v>
      </c>
      <c r="Z55" s="19">
        <v>230</v>
      </c>
      <c r="AA55" s="19">
        <v>1546.6</v>
      </c>
      <c r="AB55" s="19">
        <v>0</v>
      </c>
      <c r="AC55" s="19">
        <v>0</v>
      </c>
    </row>
    <row r="56" spans="1:29" ht="15.75" thickBot="1" x14ac:dyDescent="0.3">
      <c r="B56" s="30">
        <v>44</v>
      </c>
      <c r="C56" s="17" t="s">
        <v>73</v>
      </c>
      <c r="D56" s="18">
        <v>0</v>
      </c>
      <c r="E56" s="18">
        <v>0</v>
      </c>
      <c r="F56" s="18">
        <v>0</v>
      </c>
      <c r="G56" s="18">
        <v>0</v>
      </c>
      <c r="H56" s="18">
        <v>0</v>
      </c>
      <c r="I56" s="18">
        <v>0</v>
      </c>
      <c r="J56" s="18">
        <v>0</v>
      </c>
      <c r="K56" s="18">
        <v>424</v>
      </c>
      <c r="L56" s="19">
        <v>0</v>
      </c>
      <c r="M56" s="19">
        <v>0</v>
      </c>
      <c r="N56" s="19">
        <v>0</v>
      </c>
      <c r="O56" s="19">
        <v>0</v>
      </c>
      <c r="P56" s="19">
        <v>0</v>
      </c>
      <c r="Q56" s="19">
        <v>0</v>
      </c>
      <c r="R56" s="19">
        <v>0</v>
      </c>
      <c r="S56" s="19">
        <v>0</v>
      </c>
      <c r="T56" s="19">
        <v>288</v>
      </c>
      <c r="U56" s="19">
        <v>1150.43219</v>
      </c>
      <c r="V56" s="19">
        <v>172</v>
      </c>
      <c r="W56" s="19">
        <v>732.25353000000007</v>
      </c>
      <c r="X56" s="19">
        <v>0</v>
      </c>
      <c r="Y56" s="19">
        <v>0</v>
      </c>
      <c r="Z56" s="19">
        <v>85</v>
      </c>
      <c r="AA56" s="19">
        <v>595.5</v>
      </c>
      <c r="AB56" s="19">
        <v>0</v>
      </c>
      <c r="AC56" s="19">
        <v>0</v>
      </c>
    </row>
    <row r="57" spans="1:29" ht="15.75" thickBot="1" x14ac:dyDescent="0.3">
      <c r="A57" s="2" t="s">
        <v>74</v>
      </c>
      <c r="B57" s="30">
        <v>45</v>
      </c>
      <c r="C57" s="17" t="s">
        <v>75</v>
      </c>
      <c r="D57" s="18">
        <v>0</v>
      </c>
      <c r="E57" s="18">
        <v>0</v>
      </c>
      <c r="F57" s="18">
        <v>0</v>
      </c>
      <c r="G57" s="18">
        <v>0</v>
      </c>
      <c r="H57" s="18">
        <v>0</v>
      </c>
      <c r="I57" s="18">
        <v>83</v>
      </c>
      <c r="J57" s="18">
        <v>767785</v>
      </c>
      <c r="K57" s="18">
        <v>886036</v>
      </c>
      <c r="L57" s="19">
        <v>97995</v>
      </c>
      <c r="M57" s="19">
        <v>153688.18943999999</v>
      </c>
      <c r="N57" s="19">
        <v>305864</v>
      </c>
      <c r="O57" s="19">
        <v>365605.67233999999</v>
      </c>
      <c r="P57" s="19">
        <v>0</v>
      </c>
      <c r="Q57" s="19">
        <v>0</v>
      </c>
      <c r="R57" s="19">
        <v>1441</v>
      </c>
      <c r="S57" s="19">
        <v>5149.3000099999999</v>
      </c>
      <c r="T57" s="19">
        <v>8646</v>
      </c>
      <c r="U57" s="19">
        <v>30199.94284</v>
      </c>
      <c r="V57" s="19">
        <v>12051</v>
      </c>
      <c r="W57" s="19">
        <v>57394.969839999998</v>
      </c>
      <c r="X57" s="19">
        <v>0</v>
      </c>
      <c r="Y57" s="19">
        <v>0</v>
      </c>
      <c r="Z57" s="19">
        <v>23650</v>
      </c>
      <c r="AA57" s="19">
        <v>155077.41878000001</v>
      </c>
      <c r="AB57" s="19">
        <v>0</v>
      </c>
      <c r="AC57" s="19">
        <v>0</v>
      </c>
    </row>
    <row r="58" spans="1:29" ht="15.75" thickBot="1" x14ac:dyDescent="0.3">
      <c r="B58" s="30">
        <v>46</v>
      </c>
      <c r="C58" s="16" t="s">
        <v>76</v>
      </c>
      <c r="D58" s="18">
        <v>86</v>
      </c>
      <c r="E58" s="18">
        <v>32</v>
      </c>
      <c r="F58" s="18">
        <v>0</v>
      </c>
      <c r="G58" s="18">
        <v>0</v>
      </c>
      <c r="H58" s="18">
        <v>0</v>
      </c>
      <c r="I58" s="18">
        <v>0</v>
      </c>
      <c r="J58" s="18">
        <v>553671</v>
      </c>
      <c r="K58" s="18">
        <v>776769</v>
      </c>
      <c r="L58" s="19">
        <v>640728</v>
      </c>
      <c r="M58" s="19">
        <v>2500426.1741500935</v>
      </c>
      <c r="N58" s="19">
        <v>853585</v>
      </c>
      <c r="O58" s="19">
        <v>4284467.418080667</v>
      </c>
      <c r="P58" s="19">
        <v>0</v>
      </c>
      <c r="Q58" s="19">
        <v>0</v>
      </c>
      <c r="R58" s="19">
        <v>926</v>
      </c>
      <c r="S58" s="19">
        <v>6824.2</v>
      </c>
      <c r="T58" s="19">
        <v>158403</v>
      </c>
      <c r="U58" s="19">
        <v>728114.332959997</v>
      </c>
      <c r="V58" s="19">
        <v>111461</v>
      </c>
      <c r="W58" s="19">
        <v>421856.95618997543</v>
      </c>
      <c r="X58" s="19">
        <v>18</v>
      </c>
      <c r="Y58" s="19">
        <v>318.72399999999999</v>
      </c>
      <c r="Z58" s="19">
        <v>325210</v>
      </c>
      <c r="AA58" s="19">
        <v>2002350.9789500011</v>
      </c>
      <c r="AB58" s="19">
        <v>0</v>
      </c>
      <c r="AC58" s="19">
        <v>0</v>
      </c>
    </row>
    <row r="59" spans="1:29" ht="15.75" thickBot="1" x14ac:dyDescent="0.3">
      <c r="B59" s="30">
        <v>47</v>
      </c>
      <c r="C59" s="16" t="s">
        <v>77</v>
      </c>
      <c r="D59" s="18">
        <v>0</v>
      </c>
      <c r="E59" s="18">
        <v>0</v>
      </c>
      <c r="F59" s="18">
        <v>0</v>
      </c>
      <c r="G59" s="18">
        <v>0</v>
      </c>
      <c r="H59" s="18">
        <v>0</v>
      </c>
      <c r="I59" s="18">
        <v>0</v>
      </c>
      <c r="J59" s="18">
        <v>0</v>
      </c>
      <c r="K59" s="18">
        <v>991</v>
      </c>
      <c r="L59" s="19">
        <v>0</v>
      </c>
      <c r="M59" s="19">
        <v>0</v>
      </c>
      <c r="N59" s="19">
        <v>0</v>
      </c>
      <c r="O59" s="19">
        <v>0</v>
      </c>
      <c r="P59" s="19">
        <v>0</v>
      </c>
      <c r="Q59" s="19">
        <v>0</v>
      </c>
      <c r="R59" s="19">
        <v>0</v>
      </c>
      <c r="S59" s="19">
        <v>0</v>
      </c>
      <c r="T59" s="19">
        <v>1320</v>
      </c>
      <c r="U59" s="19">
        <v>4584.063720000001</v>
      </c>
      <c r="V59" s="19">
        <v>636</v>
      </c>
      <c r="W59" s="19">
        <v>1958.6165700000015</v>
      </c>
      <c r="X59" s="19">
        <v>0</v>
      </c>
      <c r="Y59" s="19">
        <v>0</v>
      </c>
      <c r="Z59" s="19">
        <v>225</v>
      </c>
      <c r="AA59" s="19">
        <v>1961.8</v>
      </c>
      <c r="AB59" s="19">
        <v>0</v>
      </c>
      <c r="AC59" s="19">
        <v>0</v>
      </c>
    </row>
    <row r="60" spans="1:29" ht="15.75" thickBot="1" x14ac:dyDescent="0.3">
      <c r="B60" s="13" t="s">
        <v>78</v>
      </c>
      <c r="C60" s="16"/>
      <c r="D60" s="18"/>
      <c r="E60" s="18"/>
      <c r="F60" s="18"/>
      <c r="G60" s="18"/>
      <c r="H60" s="18"/>
      <c r="I60" s="18"/>
      <c r="J60" s="18"/>
      <c r="K60" s="18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</row>
    <row r="61" spans="1:29" s="39" customFormat="1" ht="15.75" thickBot="1" x14ac:dyDescent="0.3">
      <c r="A61" s="38"/>
      <c r="B61" s="31">
        <v>48</v>
      </c>
      <c r="C61" s="22" t="s">
        <v>79</v>
      </c>
      <c r="D61" s="23">
        <v>0</v>
      </c>
      <c r="E61" s="23">
        <v>0</v>
      </c>
      <c r="F61" s="23">
        <v>0</v>
      </c>
      <c r="G61" s="23">
        <v>165886</v>
      </c>
      <c r="H61" s="23">
        <v>0</v>
      </c>
      <c r="I61" s="23">
        <v>1051814</v>
      </c>
      <c r="J61" s="23">
        <v>0</v>
      </c>
      <c r="K61" s="23">
        <v>12928568</v>
      </c>
      <c r="L61" s="24">
        <v>0</v>
      </c>
      <c r="M61" s="24">
        <v>0</v>
      </c>
      <c r="N61" s="24">
        <v>0</v>
      </c>
      <c r="O61" s="24">
        <v>0</v>
      </c>
      <c r="P61" s="24">
        <v>0</v>
      </c>
      <c r="Q61" s="24">
        <v>0</v>
      </c>
      <c r="R61" s="24">
        <v>0</v>
      </c>
      <c r="S61" s="24">
        <v>0</v>
      </c>
      <c r="T61" s="24">
        <v>3777154</v>
      </c>
      <c r="U61" s="24">
        <v>175911.87519999998</v>
      </c>
      <c r="V61" s="24">
        <v>25398</v>
      </c>
      <c r="W61" s="24">
        <v>42724.488969999999</v>
      </c>
      <c r="X61" s="24">
        <v>0</v>
      </c>
      <c r="Y61" s="24">
        <v>0</v>
      </c>
      <c r="Z61" s="24">
        <v>608531</v>
      </c>
      <c r="AA61" s="24">
        <v>2267611.557</v>
      </c>
      <c r="AB61" s="24">
        <v>0</v>
      </c>
      <c r="AC61" s="24">
        <v>0</v>
      </c>
    </row>
    <row r="62" spans="1:29" s="39" customFormat="1" ht="15.75" thickBot="1" x14ac:dyDescent="0.3">
      <c r="A62" s="38"/>
      <c r="B62" s="31">
        <v>49</v>
      </c>
      <c r="C62" s="22" t="s">
        <v>80</v>
      </c>
      <c r="D62" s="23">
        <v>0</v>
      </c>
      <c r="E62" s="23">
        <v>0</v>
      </c>
      <c r="F62" s="23">
        <v>0</v>
      </c>
      <c r="G62" s="23">
        <v>478994</v>
      </c>
      <c r="H62" s="23">
        <v>0</v>
      </c>
      <c r="I62" s="23">
        <v>15850</v>
      </c>
      <c r="J62" s="23">
        <v>0</v>
      </c>
      <c r="K62" s="23">
        <v>11862308</v>
      </c>
      <c r="L62" s="24">
        <v>0</v>
      </c>
      <c r="M62" s="24">
        <v>0</v>
      </c>
      <c r="N62" s="24">
        <v>0</v>
      </c>
      <c r="O62" s="24">
        <v>0</v>
      </c>
      <c r="P62" s="24">
        <v>0</v>
      </c>
      <c r="Q62" s="24">
        <v>0</v>
      </c>
      <c r="R62" s="24">
        <v>0</v>
      </c>
      <c r="S62" s="24">
        <v>0</v>
      </c>
      <c r="T62" s="24">
        <v>88550</v>
      </c>
      <c r="U62" s="24">
        <v>187879.84288000001</v>
      </c>
      <c r="V62" s="24">
        <v>843</v>
      </c>
      <c r="W62" s="24">
        <v>2058.5969500000001</v>
      </c>
      <c r="X62" s="24">
        <v>0</v>
      </c>
      <c r="Y62" s="24">
        <v>0</v>
      </c>
      <c r="Z62" s="24">
        <v>1699191</v>
      </c>
      <c r="AA62" s="24">
        <v>6144121.4689999996</v>
      </c>
      <c r="AB62" s="24">
        <v>0</v>
      </c>
      <c r="AC62" s="24">
        <v>0</v>
      </c>
    </row>
    <row r="63" spans="1:29" s="39" customFormat="1" ht="15.75" thickBot="1" x14ac:dyDescent="0.3">
      <c r="A63" s="38"/>
      <c r="B63" s="31">
        <v>50</v>
      </c>
      <c r="C63" s="22" t="s">
        <v>81</v>
      </c>
      <c r="D63" s="23">
        <v>0</v>
      </c>
      <c r="E63" s="23">
        <v>0</v>
      </c>
      <c r="F63" s="23">
        <v>0</v>
      </c>
      <c r="G63" s="23">
        <v>185167</v>
      </c>
      <c r="H63" s="23">
        <v>0</v>
      </c>
      <c r="I63" s="23">
        <v>3456242</v>
      </c>
      <c r="J63" s="23">
        <v>0</v>
      </c>
      <c r="K63" s="23">
        <v>36408803</v>
      </c>
      <c r="L63" s="24">
        <v>0</v>
      </c>
      <c r="M63" s="24">
        <v>0</v>
      </c>
      <c r="N63" s="24">
        <v>0</v>
      </c>
      <c r="O63" s="24">
        <v>0</v>
      </c>
      <c r="P63" s="24">
        <v>0</v>
      </c>
      <c r="Q63" s="24">
        <v>0</v>
      </c>
      <c r="R63" s="24">
        <v>0</v>
      </c>
      <c r="S63" s="24">
        <v>0</v>
      </c>
      <c r="T63" s="24">
        <v>0</v>
      </c>
      <c r="U63" s="24">
        <v>0</v>
      </c>
      <c r="V63" s="24">
        <v>35147</v>
      </c>
      <c r="W63" s="24">
        <v>20662.613799999999</v>
      </c>
      <c r="X63" s="24">
        <v>0</v>
      </c>
      <c r="Y63" s="24">
        <v>0</v>
      </c>
      <c r="Z63" s="24">
        <v>0</v>
      </c>
      <c r="AA63" s="24">
        <v>0</v>
      </c>
      <c r="AB63" s="24">
        <v>0</v>
      </c>
      <c r="AC63" s="24">
        <v>0</v>
      </c>
    </row>
    <row r="64" spans="1:29" s="39" customFormat="1" ht="15.75" thickBot="1" x14ac:dyDescent="0.3">
      <c r="A64" s="38"/>
      <c r="B64" s="31">
        <v>51</v>
      </c>
      <c r="C64" s="22" t="s">
        <v>82</v>
      </c>
      <c r="D64" s="23">
        <v>0</v>
      </c>
      <c r="E64" s="23">
        <v>0</v>
      </c>
      <c r="F64" s="23">
        <v>0</v>
      </c>
      <c r="G64" s="23">
        <v>0</v>
      </c>
      <c r="H64" s="23">
        <v>0</v>
      </c>
      <c r="I64" s="23">
        <v>67317</v>
      </c>
      <c r="J64" s="23">
        <v>0</v>
      </c>
      <c r="K64" s="23">
        <v>1479707</v>
      </c>
      <c r="L64" s="24">
        <v>0</v>
      </c>
      <c r="M64" s="24">
        <v>0</v>
      </c>
      <c r="N64" s="24">
        <v>0</v>
      </c>
      <c r="O64" s="24">
        <v>0</v>
      </c>
      <c r="P64" s="24">
        <v>0</v>
      </c>
      <c r="Q64" s="24">
        <v>0</v>
      </c>
      <c r="R64" s="24">
        <v>0</v>
      </c>
      <c r="S64" s="24">
        <v>0</v>
      </c>
      <c r="T64" s="24">
        <v>13012</v>
      </c>
      <c r="U64" s="24">
        <v>27900.489249999999</v>
      </c>
      <c r="V64" s="24">
        <v>12837</v>
      </c>
      <c r="W64" s="24">
        <v>20308.94052</v>
      </c>
      <c r="X64" s="24">
        <v>2490</v>
      </c>
      <c r="Y64" s="24">
        <v>1849.1024299999999</v>
      </c>
      <c r="Z64" s="24">
        <v>117356</v>
      </c>
      <c r="AA64" s="24">
        <v>570690.20499999996</v>
      </c>
      <c r="AB64" s="24">
        <v>0</v>
      </c>
      <c r="AC64" s="24">
        <v>0</v>
      </c>
    </row>
    <row r="65" spans="1:29" s="39" customFormat="1" ht="15.75" thickBot="1" x14ac:dyDescent="0.3">
      <c r="A65" s="38"/>
      <c r="B65" s="31">
        <v>52</v>
      </c>
      <c r="C65" s="22" t="s">
        <v>83</v>
      </c>
      <c r="D65" s="23">
        <v>0</v>
      </c>
      <c r="E65" s="23">
        <v>0</v>
      </c>
      <c r="F65" s="23">
        <v>0</v>
      </c>
      <c r="G65" s="23">
        <v>178613</v>
      </c>
      <c r="H65" s="23">
        <v>0</v>
      </c>
      <c r="I65" s="23">
        <v>0</v>
      </c>
      <c r="J65" s="23">
        <v>0</v>
      </c>
      <c r="K65" s="23">
        <v>4132957</v>
      </c>
      <c r="L65" s="24">
        <v>0</v>
      </c>
      <c r="M65" s="24">
        <v>0</v>
      </c>
      <c r="N65" s="24">
        <v>0</v>
      </c>
      <c r="O65" s="24">
        <v>0</v>
      </c>
      <c r="P65" s="24">
        <v>0</v>
      </c>
      <c r="Q65" s="24">
        <v>0</v>
      </c>
      <c r="R65" s="24">
        <v>0</v>
      </c>
      <c r="S65" s="24">
        <v>0</v>
      </c>
      <c r="T65" s="24">
        <v>20570</v>
      </c>
      <c r="U65" s="24">
        <v>29628.72524</v>
      </c>
      <c r="V65" s="24">
        <v>12453</v>
      </c>
      <c r="W65" s="24">
        <v>31308.905999999999</v>
      </c>
      <c r="X65" s="24">
        <v>0</v>
      </c>
      <c r="Y65" s="24">
        <v>0</v>
      </c>
      <c r="Z65" s="24">
        <v>510999</v>
      </c>
      <c r="AA65" s="24">
        <v>1473227.9</v>
      </c>
      <c r="AB65" s="24">
        <v>0</v>
      </c>
      <c r="AC65" s="24">
        <v>0</v>
      </c>
    </row>
    <row r="66" spans="1:29" ht="15.75" thickBot="1" x14ac:dyDescent="0.3">
      <c r="B66" s="13" t="s">
        <v>84</v>
      </c>
      <c r="C66" s="16"/>
      <c r="D66" s="14"/>
      <c r="E66" s="14"/>
      <c r="F66" s="14"/>
      <c r="G66" s="14"/>
      <c r="H66" s="14"/>
      <c r="I66" s="14"/>
      <c r="J66" s="14"/>
      <c r="K66" s="14"/>
      <c r="L66" s="15"/>
      <c r="M66" s="15"/>
      <c r="N66" s="15"/>
      <c r="O66" s="15"/>
      <c r="P66" s="15"/>
      <c r="Q66" s="15"/>
      <c r="R66" s="15"/>
      <c r="S66" s="15"/>
      <c r="T66" s="19"/>
      <c r="U66" s="19"/>
      <c r="V66" s="19"/>
      <c r="W66" s="19"/>
      <c r="X66" s="19"/>
      <c r="Y66" s="19"/>
      <c r="Z66" s="19"/>
      <c r="AA66" s="19"/>
      <c r="AB66" s="19"/>
      <c r="AC66" s="19"/>
    </row>
    <row r="67" spans="1:29" ht="15.75" thickBot="1" x14ac:dyDescent="0.3">
      <c r="B67" s="30">
        <v>53</v>
      </c>
      <c r="C67" s="17" t="s">
        <v>85</v>
      </c>
      <c r="D67" s="18">
        <v>798</v>
      </c>
      <c r="E67" s="18">
        <v>6</v>
      </c>
      <c r="F67" s="18">
        <v>0</v>
      </c>
      <c r="G67" s="18">
        <v>1008</v>
      </c>
      <c r="H67" s="18">
        <v>0</v>
      </c>
      <c r="I67" s="18">
        <v>186653</v>
      </c>
      <c r="J67" s="18">
        <v>1129264</v>
      </c>
      <c r="K67" s="18">
        <v>11392055</v>
      </c>
      <c r="L67" s="19">
        <v>820455</v>
      </c>
      <c r="M67" s="19">
        <v>4656242.0609999998</v>
      </c>
      <c r="N67" s="19">
        <v>4534572</v>
      </c>
      <c r="O67" s="19">
        <v>8584676.094560001</v>
      </c>
      <c r="P67" s="19">
        <v>0</v>
      </c>
      <c r="Q67" s="19">
        <v>0</v>
      </c>
      <c r="R67" s="19">
        <v>2594</v>
      </c>
      <c r="S67" s="19">
        <v>16391.8</v>
      </c>
      <c r="T67" s="19">
        <v>178243</v>
      </c>
      <c r="U67" s="19">
        <v>522464.73255999997</v>
      </c>
      <c r="V67" s="19">
        <v>189788</v>
      </c>
      <c r="W67" s="19">
        <v>818280.54897</v>
      </c>
      <c r="X67" s="19">
        <v>81</v>
      </c>
      <c r="Y67" s="19">
        <v>1346.25</v>
      </c>
      <c r="Z67" s="19">
        <v>843893</v>
      </c>
      <c r="AA67" s="19">
        <v>5379630.2999999998</v>
      </c>
      <c r="AB67" s="19">
        <v>0</v>
      </c>
      <c r="AC67" s="19">
        <v>0</v>
      </c>
    </row>
    <row r="68" spans="1:29" ht="15.75" thickBot="1" x14ac:dyDescent="0.3">
      <c r="B68" s="30">
        <v>54</v>
      </c>
      <c r="C68" s="17" t="s">
        <v>86</v>
      </c>
      <c r="D68" s="18">
        <v>216</v>
      </c>
      <c r="E68" s="18">
        <v>2</v>
      </c>
      <c r="F68" s="18">
        <v>0</v>
      </c>
      <c r="G68" s="18">
        <v>0</v>
      </c>
      <c r="H68" s="18">
        <v>0</v>
      </c>
      <c r="I68" s="18">
        <v>0</v>
      </c>
      <c r="J68" s="18">
        <v>0</v>
      </c>
      <c r="K68" s="18">
        <v>240191</v>
      </c>
      <c r="L68" s="19">
        <v>0</v>
      </c>
      <c r="M68" s="19">
        <v>0</v>
      </c>
      <c r="N68" s="19">
        <v>0</v>
      </c>
      <c r="O68" s="19">
        <v>0</v>
      </c>
      <c r="P68" s="19">
        <v>0</v>
      </c>
      <c r="Q68" s="19">
        <v>0</v>
      </c>
      <c r="R68" s="19">
        <v>0</v>
      </c>
      <c r="S68" s="19">
        <v>0</v>
      </c>
      <c r="T68" s="19">
        <v>18945</v>
      </c>
      <c r="U68" s="19">
        <v>60435.039950000006</v>
      </c>
      <c r="V68" s="19">
        <v>1806</v>
      </c>
      <c r="W68" s="19">
        <v>14218.87118</v>
      </c>
      <c r="X68" s="19">
        <v>0</v>
      </c>
      <c r="Y68" s="19">
        <v>0</v>
      </c>
      <c r="Z68" s="19">
        <v>105123</v>
      </c>
      <c r="AA68" s="19">
        <v>677995.62</v>
      </c>
      <c r="AB68" s="19">
        <v>0</v>
      </c>
      <c r="AC68" s="19">
        <v>0</v>
      </c>
    </row>
    <row r="69" spans="1:29" ht="15.75" thickBot="1" x14ac:dyDescent="0.3">
      <c r="B69" s="30">
        <v>55</v>
      </c>
      <c r="C69" s="17" t="s">
        <v>87</v>
      </c>
      <c r="D69" s="18">
        <v>398</v>
      </c>
      <c r="E69" s="18">
        <v>4</v>
      </c>
      <c r="F69" s="18">
        <v>2890</v>
      </c>
      <c r="G69" s="18">
        <v>368</v>
      </c>
      <c r="H69" s="18">
        <v>0</v>
      </c>
      <c r="I69" s="18">
        <v>50700</v>
      </c>
      <c r="J69" s="18">
        <v>29309</v>
      </c>
      <c r="K69" s="18">
        <v>1018525</v>
      </c>
      <c r="L69" s="19">
        <v>214513</v>
      </c>
      <c r="M69" s="19">
        <v>429970.04362999997</v>
      </c>
      <c r="N69" s="19">
        <v>16362</v>
      </c>
      <c r="O69" s="19">
        <v>205023.56578999999</v>
      </c>
      <c r="P69" s="19">
        <v>0</v>
      </c>
      <c r="Q69" s="19">
        <v>0</v>
      </c>
      <c r="R69" s="19">
        <v>447</v>
      </c>
      <c r="S69" s="19">
        <v>2320.1999999999998</v>
      </c>
      <c r="T69" s="19">
        <v>64692</v>
      </c>
      <c r="U69" s="19">
        <v>190307.99799999999</v>
      </c>
      <c r="V69" s="19">
        <v>19815</v>
      </c>
      <c r="W69" s="19">
        <v>126855.43169</v>
      </c>
      <c r="X69" s="19">
        <v>0</v>
      </c>
      <c r="Y69" s="19">
        <v>0</v>
      </c>
      <c r="Z69" s="19">
        <v>1600167</v>
      </c>
      <c r="AA69" s="19">
        <v>4811964.68</v>
      </c>
      <c r="AB69" s="19">
        <v>0</v>
      </c>
      <c r="AC69" s="19">
        <v>0</v>
      </c>
    </row>
    <row r="70" spans="1:29" ht="15.75" thickBot="1" x14ac:dyDescent="0.3">
      <c r="B70" s="30">
        <v>56</v>
      </c>
      <c r="C70" s="17" t="s">
        <v>88</v>
      </c>
      <c r="D70" s="18">
        <v>720</v>
      </c>
      <c r="E70" s="18">
        <v>2</v>
      </c>
      <c r="F70" s="18">
        <v>0</v>
      </c>
      <c r="G70" s="18">
        <v>2953</v>
      </c>
      <c r="H70" s="18">
        <v>0</v>
      </c>
      <c r="I70" s="18">
        <v>9395</v>
      </c>
      <c r="J70" s="18">
        <v>8088</v>
      </c>
      <c r="K70" s="18">
        <v>5377382</v>
      </c>
      <c r="L70" s="19">
        <v>7255</v>
      </c>
      <c r="M70" s="19">
        <v>19319.27435</v>
      </c>
      <c r="N70" s="19">
        <v>66613</v>
      </c>
      <c r="O70" s="19">
        <v>65702.662400000001</v>
      </c>
      <c r="P70" s="19">
        <v>0</v>
      </c>
      <c r="Q70" s="19">
        <v>0</v>
      </c>
      <c r="R70" s="19">
        <v>34</v>
      </c>
      <c r="S70" s="19">
        <v>147.9</v>
      </c>
      <c r="T70" s="19">
        <v>116528</v>
      </c>
      <c r="U70" s="19">
        <v>273955.30674000003</v>
      </c>
      <c r="V70" s="19">
        <v>7616</v>
      </c>
      <c r="W70" s="19">
        <v>37756.959999999999</v>
      </c>
      <c r="X70" s="19">
        <v>0</v>
      </c>
      <c r="Y70" s="19">
        <v>0</v>
      </c>
      <c r="Z70" s="19">
        <v>618522</v>
      </c>
      <c r="AA70" s="19">
        <v>3236161.51</v>
      </c>
      <c r="AB70" s="19">
        <v>0</v>
      </c>
      <c r="AC70" s="19">
        <v>0</v>
      </c>
    </row>
    <row r="71" spans="1:29" ht="15.75" thickBot="1" x14ac:dyDescent="0.3">
      <c r="B71" s="30">
        <v>57</v>
      </c>
      <c r="C71" s="17" t="s">
        <v>89</v>
      </c>
      <c r="D71" s="18">
        <v>57</v>
      </c>
      <c r="E71" s="18">
        <v>5</v>
      </c>
      <c r="F71" s="18">
        <v>0</v>
      </c>
      <c r="G71" s="18">
        <v>173</v>
      </c>
      <c r="H71" s="18">
        <v>0</v>
      </c>
      <c r="I71" s="18">
        <v>1003416</v>
      </c>
      <c r="J71" s="18">
        <v>0</v>
      </c>
      <c r="K71" s="18">
        <v>4344480</v>
      </c>
      <c r="L71" s="19">
        <v>0</v>
      </c>
      <c r="M71" s="19">
        <v>0</v>
      </c>
      <c r="N71" s="19">
        <v>0</v>
      </c>
      <c r="O71" s="19">
        <v>0</v>
      </c>
      <c r="P71" s="19">
        <v>0</v>
      </c>
      <c r="Q71" s="19">
        <v>0</v>
      </c>
      <c r="R71" s="19">
        <v>0</v>
      </c>
      <c r="S71" s="19">
        <v>0</v>
      </c>
      <c r="T71" s="19">
        <v>36069</v>
      </c>
      <c r="U71" s="19">
        <v>92266.53095</v>
      </c>
      <c r="V71" s="19">
        <v>7294</v>
      </c>
      <c r="W71" s="19">
        <v>27304.41156</v>
      </c>
      <c r="X71" s="19">
        <v>0</v>
      </c>
      <c r="Y71" s="19">
        <v>0</v>
      </c>
      <c r="Z71" s="19">
        <v>376879</v>
      </c>
      <c r="AA71" s="19">
        <v>1620586.61665</v>
      </c>
      <c r="AB71" s="19">
        <v>0</v>
      </c>
      <c r="AC71" s="19">
        <v>0</v>
      </c>
    </row>
    <row r="72" spans="1:29" ht="15.75" thickBot="1" x14ac:dyDescent="0.3">
      <c r="B72" s="30">
        <v>58</v>
      </c>
      <c r="C72" s="17" t="s">
        <v>90</v>
      </c>
      <c r="D72" s="18">
        <v>5</v>
      </c>
      <c r="E72" s="18">
        <v>0</v>
      </c>
      <c r="F72" s="18">
        <v>0</v>
      </c>
      <c r="G72" s="18">
        <v>0</v>
      </c>
      <c r="H72" s="18">
        <v>0</v>
      </c>
      <c r="I72" s="18">
        <v>28185</v>
      </c>
      <c r="J72" s="18">
        <v>507157</v>
      </c>
      <c r="K72" s="18">
        <v>6863173</v>
      </c>
      <c r="L72" s="19">
        <v>6979340</v>
      </c>
      <c r="M72" s="19">
        <v>3238097.6477900003</v>
      </c>
      <c r="N72" s="19">
        <v>1584580</v>
      </c>
      <c r="O72" s="19">
        <v>1437903.7055200001</v>
      </c>
      <c r="P72" s="19">
        <v>0</v>
      </c>
      <c r="Q72" s="19">
        <v>0</v>
      </c>
      <c r="R72" s="19">
        <v>0</v>
      </c>
      <c r="S72" s="19">
        <v>0</v>
      </c>
      <c r="T72" s="19">
        <v>13036</v>
      </c>
      <c r="U72" s="19">
        <v>28779.353609999998</v>
      </c>
      <c r="V72" s="19">
        <v>56282</v>
      </c>
      <c r="W72" s="19">
        <v>179511.82858999999</v>
      </c>
      <c r="X72" s="19">
        <v>0</v>
      </c>
      <c r="Y72" s="19">
        <v>0</v>
      </c>
      <c r="Z72" s="19">
        <v>67508</v>
      </c>
      <c r="AA72" s="19">
        <v>332054.40000000002</v>
      </c>
      <c r="AB72" s="19">
        <v>2357</v>
      </c>
      <c r="AC72" s="19">
        <v>9769.6</v>
      </c>
    </row>
    <row r="73" spans="1:29" ht="15.75" thickBot="1" x14ac:dyDescent="0.3">
      <c r="B73" s="30">
        <v>59</v>
      </c>
      <c r="C73" s="17" t="s">
        <v>91</v>
      </c>
      <c r="D73" s="18">
        <v>0</v>
      </c>
      <c r="E73" s="18">
        <v>0</v>
      </c>
      <c r="F73" s="18">
        <v>0</v>
      </c>
      <c r="G73" s="18">
        <v>0</v>
      </c>
      <c r="H73" s="18">
        <v>0</v>
      </c>
      <c r="I73" s="18">
        <v>0</v>
      </c>
      <c r="J73" s="18">
        <v>0</v>
      </c>
      <c r="K73" s="18">
        <v>40978</v>
      </c>
      <c r="L73" s="19">
        <v>0</v>
      </c>
      <c r="M73" s="19">
        <v>0</v>
      </c>
      <c r="N73" s="19">
        <v>0</v>
      </c>
      <c r="O73" s="19">
        <v>0</v>
      </c>
      <c r="P73" s="19">
        <v>0</v>
      </c>
      <c r="Q73" s="19">
        <v>0</v>
      </c>
      <c r="R73" s="19">
        <v>0</v>
      </c>
      <c r="S73" s="19">
        <v>0</v>
      </c>
      <c r="T73" s="19">
        <v>1623</v>
      </c>
      <c r="U73" s="19">
        <v>5236.8524100000004</v>
      </c>
      <c r="V73" s="19">
        <v>557</v>
      </c>
      <c r="W73" s="19">
        <v>3237.4150199999999</v>
      </c>
      <c r="X73" s="19">
        <v>0</v>
      </c>
      <c r="Y73" s="19">
        <v>0</v>
      </c>
      <c r="Z73" s="19">
        <v>11865</v>
      </c>
      <c r="AA73" s="19">
        <v>64335.5</v>
      </c>
      <c r="AB73" s="19">
        <v>0</v>
      </c>
      <c r="AC73" s="19">
        <v>0</v>
      </c>
    </row>
    <row r="74" spans="1:29" ht="15.75" thickBot="1" x14ac:dyDescent="0.3">
      <c r="B74" s="30">
        <v>60</v>
      </c>
      <c r="C74" s="17" t="s">
        <v>92</v>
      </c>
      <c r="D74" s="18">
        <v>0</v>
      </c>
      <c r="E74" s="18">
        <v>0</v>
      </c>
      <c r="F74" s="18">
        <v>0</v>
      </c>
      <c r="G74" s="18">
        <v>0</v>
      </c>
      <c r="H74" s="18">
        <v>0</v>
      </c>
      <c r="I74" s="18">
        <v>0</v>
      </c>
      <c r="J74" s="18">
        <v>57862</v>
      </c>
      <c r="K74" s="18">
        <v>1049535</v>
      </c>
      <c r="L74" s="19">
        <v>8272</v>
      </c>
      <c r="M74" s="19">
        <v>29888.215</v>
      </c>
      <c r="N74" s="19">
        <v>24320</v>
      </c>
      <c r="O74" s="19">
        <v>57168.165999999997</v>
      </c>
      <c r="P74" s="19">
        <v>0</v>
      </c>
      <c r="Q74" s="19">
        <v>0</v>
      </c>
      <c r="R74" s="19">
        <v>0</v>
      </c>
      <c r="S74" s="19">
        <v>0</v>
      </c>
      <c r="T74" s="19">
        <v>3782</v>
      </c>
      <c r="U74" s="19">
        <v>6827.1109999999999</v>
      </c>
      <c r="V74" s="19">
        <v>660</v>
      </c>
      <c r="W74" s="19">
        <v>3755.6590000000001</v>
      </c>
      <c r="X74" s="19">
        <v>0</v>
      </c>
      <c r="Y74" s="19">
        <v>0</v>
      </c>
      <c r="Z74" s="19">
        <v>33882</v>
      </c>
      <c r="AA74" s="19">
        <v>143482.79</v>
      </c>
      <c r="AB74" s="19">
        <v>0</v>
      </c>
      <c r="AC74" s="19">
        <v>0</v>
      </c>
    </row>
    <row r="75" spans="1:29" ht="15.75" thickBot="1" x14ac:dyDescent="0.3">
      <c r="B75" s="30">
        <v>61</v>
      </c>
      <c r="C75" s="17" t="s">
        <v>93</v>
      </c>
      <c r="D75" s="18">
        <v>612</v>
      </c>
      <c r="E75" s="18">
        <v>3</v>
      </c>
      <c r="F75" s="18">
        <v>0</v>
      </c>
      <c r="G75" s="18">
        <v>0</v>
      </c>
      <c r="H75" s="18">
        <v>0</v>
      </c>
      <c r="I75" s="18">
        <v>557282</v>
      </c>
      <c r="J75" s="18">
        <v>0</v>
      </c>
      <c r="K75" s="18">
        <v>6825360</v>
      </c>
      <c r="L75" s="19">
        <v>0</v>
      </c>
      <c r="M75" s="19">
        <v>0</v>
      </c>
      <c r="N75" s="19">
        <v>0</v>
      </c>
      <c r="O75" s="19">
        <v>0</v>
      </c>
      <c r="P75" s="19">
        <v>0</v>
      </c>
      <c r="Q75" s="19">
        <v>0</v>
      </c>
      <c r="R75" s="19">
        <v>0</v>
      </c>
      <c r="S75" s="19">
        <v>0</v>
      </c>
      <c r="T75" s="19">
        <v>120080</v>
      </c>
      <c r="U75" s="19">
        <v>289140.20604000002</v>
      </c>
      <c r="V75" s="19">
        <v>17872</v>
      </c>
      <c r="W75" s="19">
        <v>101479.89838</v>
      </c>
      <c r="X75" s="19">
        <v>0</v>
      </c>
      <c r="Y75" s="19">
        <v>0</v>
      </c>
      <c r="Z75" s="19">
        <v>2628240</v>
      </c>
      <c r="AA75" s="19">
        <v>12327929.07494</v>
      </c>
      <c r="AB75" s="19">
        <v>0</v>
      </c>
      <c r="AC75" s="19">
        <v>0</v>
      </c>
    </row>
    <row r="76" spans="1:29" ht="15.75" thickBot="1" x14ac:dyDescent="0.3">
      <c r="B76" s="30">
        <v>62</v>
      </c>
      <c r="C76" s="17" t="s">
        <v>94</v>
      </c>
      <c r="D76" s="18">
        <v>189</v>
      </c>
      <c r="E76" s="18">
        <v>0</v>
      </c>
      <c r="F76" s="18">
        <v>0</v>
      </c>
      <c r="G76" s="18">
        <v>0</v>
      </c>
      <c r="H76" s="18">
        <v>0</v>
      </c>
      <c r="I76" s="18">
        <v>0</v>
      </c>
      <c r="J76" s="18">
        <v>423628</v>
      </c>
      <c r="K76" s="18">
        <v>126825</v>
      </c>
      <c r="L76" s="19">
        <v>60125</v>
      </c>
      <c r="M76" s="19">
        <v>253131.37540000002</v>
      </c>
      <c r="N76" s="19">
        <v>166450</v>
      </c>
      <c r="O76" s="19">
        <v>575052.59409999999</v>
      </c>
      <c r="P76" s="19">
        <v>0</v>
      </c>
      <c r="Q76" s="19">
        <v>0</v>
      </c>
      <c r="R76" s="19">
        <v>2275</v>
      </c>
      <c r="S76" s="19">
        <v>10116.299999999999</v>
      </c>
      <c r="T76" s="19">
        <v>7544</v>
      </c>
      <c r="U76" s="19">
        <v>16961.15667</v>
      </c>
      <c r="V76" s="19">
        <v>1211</v>
      </c>
      <c r="W76" s="19">
        <v>7183.8354500000005</v>
      </c>
      <c r="X76" s="19">
        <v>0</v>
      </c>
      <c r="Y76" s="19">
        <v>0</v>
      </c>
      <c r="Z76" s="19">
        <v>34548</v>
      </c>
      <c r="AA76" s="19">
        <v>186370.93</v>
      </c>
      <c r="AB76" s="19">
        <v>0</v>
      </c>
      <c r="AC76" s="19">
        <v>0</v>
      </c>
    </row>
    <row r="77" spans="1:29" ht="15.75" thickBot="1" x14ac:dyDescent="0.3">
      <c r="B77" s="30">
        <v>63</v>
      </c>
      <c r="C77" s="17" t="s">
        <v>95</v>
      </c>
      <c r="D77" s="18">
        <v>365</v>
      </c>
      <c r="E77" s="18">
        <v>8</v>
      </c>
      <c r="F77" s="18">
        <v>0</v>
      </c>
      <c r="G77" s="18">
        <v>789</v>
      </c>
      <c r="H77" s="18">
        <v>0</v>
      </c>
      <c r="I77" s="18">
        <v>42849</v>
      </c>
      <c r="J77" s="18">
        <v>370405</v>
      </c>
      <c r="K77" s="18">
        <v>1226209</v>
      </c>
      <c r="L77" s="19">
        <v>22207</v>
      </c>
      <c r="M77" s="19">
        <v>41710.117019999998</v>
      </c>
      <c r="N77" s="19">
        <v>92730</v>
      </c>
      <c r="O77" s="19">
        <v>101867.71911000001</v>
      </c>
      <c r="P77" s="19">
        <v>3960306</v>
      </c>
      <c r="Q77" s="19">
        <v>1083223.0512699999</v>
      </c>
      <c r="R77" s="19">
        <v>767</v>
      </c>
      <c r="S77" s="19">
        <v>1063.0999999999999</v>
      </c>
      <c r="T77" s="19">
        <v>14598</v>
      </c>
      <c r="U77" s="19">
        <v>45976.951030000004</v>
      </c>
      <c r="V77" s="19">
        <v>4244</v>
      </c>
      <c r="W77" s="19">
        <v>20286.357290000051</v>
      </c>
      <c r="X77" s="19">
        <v>0</v>
      </c>
      <c r="Y77" s="19">
        <v>0</v>
      </c>
      <c r="Z77" s="19">
        <v>123859</v>
      </c>
      <c r="AA77" s="19">
        <v>849569.79</v>
      </c>
      <c r="AB77" s="19">
        <v>0</v>
      </c>
      <c r="AC77" s="19">
        <v>0</v>
      </c>
    </row>
    <row r="78" spans="1:29" s="41" customFormat="1" ht="15.75" thickBot="1" x14ac:dyDescent="0.3">
      <c r="A78" s="40"/>
      <c r="B78" s="7" t="s">
        <v>96</v>
      </c>
      <c r="C78" s="7"/>
      <c r="D78" s="25">
        <f t="shared" ref="D78:AC78" si="0">SUM(D11:D77)</f>
        <v>136694</v>
      </c>
      <c r="E78" s="25">
        <f t="shared" si="0"/>
        <v>73298</v>
      </c>
      <c r="F78" s="25">
        <f t="shared" si="0"/>
        <v>10207640</v>
      </c>
      <c r="G78" s="25">
        <f t="shared" si="0"/>
        <v>1325933</v>
      </c>
      <c r="H78" s="25">
        <f t="shared" si="0"/>
        <v>5330222</v>
      </c>
      <c r="I78" s="25">
        <f t="shared" si="0"/>
        <v>813030623</v>
      </c>
      <c r="J78" s="25">
        <f t="shared" si="0"/>
        <v>124053544</v>
      </c>
      <c r="K78" s="25">
        <f t="shared" si="0"/>
        <v>1036828562.9119999</v>
      </c>
      <c r="L78" s="25">
        <f t="shared" si="0"/>
        <v>308836512</v>
      </c>
      <c r="M78" s="25">
        <f t="shared" si="0"/>
        <v>793550946.01106048</v>
      </c>
      <c r="N78" s="25">
        <f t="shared" si="0"/>
        <v>319531971</v>
      </c>
      <c r="O78" s="25">
        <f t="shared" si="0"/>
        <v>1229797144.6170964</v>
      </c>
      <c r="P78" s="25">
        <f t="shared" si="0"/>
        <v>4078684</v>
      </c>
      <c r="Q78" s="25">
        <f t="shared" si="0"/>
        <v>1138369.1740199998</v>
      </c>
      <c r="R78" s="25">
        <f t="shared" si="0"/>
        <v>683734</v>
      </c>
      <c r="S78" s="25">
        <f t="shared" si="0"/>
        <v>3874879.0490099997</v>
      </c>
      <c r="T78" s="25">
        <f t="shared" si="0"/>
        <v>76133853</v>
      </c>
      <c r="U78" s="25">
        <f t="shared" si="0"/>
        <v>228288565.73521006</v>
      </c>
      <c r="V78" s="25">
        <f t="shared" si="0"/>
        <v>27655655</v>
      </c>
      <c r="W78" s="25">
        <f t="shared" si="0"/>
        <v>136568184.33967981</v>
      </c>
      <c r="X78" s="25">
        <f t="shared" si="0"/>
        <v>75662</v>
      </c>
      <c r="Y78" s="25">
        <f t="shared" si="0"/>
        <v>2115824.4181899996</v>
      </c>
      <c r="Z78" s="25">
        <f t="shared" si="0"/>
        <v>412045167</v>
      </c>
      <c r="AA78" s="25">
        <f t="shared" si="0"/>
        <v>2239069685.2518401</v>
      </c>
      <c r="AB78" s="25">
        <f t="shared" si="0"/>
        <v>6772</v>
      </c>
      <c r="AC78" s="25">
        <f t="shared" si="0"/>
        <v>13305.607330000001</v>
      </c>
    </row>
    <row r="79" spans="1:29" s="41" customFormat="1" ht="15.75" thickBot="1" x14ac:dyDescent="0.3">
      <c r="A79" s="40"/>
      <c r="B79" s="13"/>
      <c r="C79" s="16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  <c r="AA79" s="25"/>
      <c r="AB79" s="25"/>
      <c r="AC79" s="25"/>
    </row>
    <row r="80" spans="1:29" ht="15.75" thickBot="1" x14ac:dyDescent="0.3">
      <c r="A80" s="42"/>
      <c r="B80" s="26"/>
      <c r="C80" s="26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  <c r="AA80" s="27"/>
      <c r="AB80" s="27"/>
      <c r="AC80" s="27"/>
    </row>
    <row r="81" spans="1:30" ht="15.75" thickBot="1" x14ac:dyDescent="0.3">
      <c r="A81" s="3" t="s">
        <v>97</v>
      </c>
      <c r="B81" s="28" t="s">
        <v>98</v>
      </c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8"/>
      <c r="AB81" s="28"/>
      <c r="AC81" s="28"/>
    </row>
    <row r="82" spans="1:30" ht="15.75" thickBot="1" x14ac:dyDescent="0.3">
      <c r="A82" s="43">
        <v>1</v>
      </c>
      <c r="B82" s="28" t="s">
        <v>99</v>
      </c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  <c r="AA82" s="28"/>
      <c r="AB82" s="28"/>
      <c r="AC82" s="28"/>
    </row>
    <row r="83" spans="1:30" ht="15.75" thickBot="1" x14ac:dyDescent="0.3">
      <c r="A83" s="43">
        <v>2</v>
      </c>
      <c r="B83" s="28" t="s">
        <v>100</v>
      </c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  <c r="AA83" s="28"/>
      <c r="AB83" s="28"/>
      <c r="AC83" s="28"/>
    </row>
    <row r="84" spans="1:30" s="44" customFormat="1" ht="15.75" thickBot="1" x14ac:dyDescent="0.3">
      <c r="A84" s="43">
        <v>3</v>
      </c>
      <c r="B84" s="28" t="s">
        <v>101</v>
      </c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  <c r="AA84" s="28"/>
      <c r="AB84" s="28"/>
      <c r="AC84" s="28"/>
    </row>
    <row r="85" spans="1:30" s="44" customFormat="1" ht="15.75" thickBot="1" x14ac:dyDescent="0.3">
      <c r="A85" s="43">
        <v>4</v>
      </c>
      <c r="B85" s="28" t="s">
        <v>102</v>
      </c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  <c r="AA85" s="28"/>
      <c r="AB85" s="28"/>
      <c r="AC85" s="28"/>
    </row>
    <row r="86" spans="1:30" s="44" customFormat="1" ht="15.75" thickBot="1" x14ac:dyDescent="0.3">
      <c r="A86" s="43">
        <v>5</v>
      </c>
      <c r="B86" s="28" t="s">
        <v>103</v>
      </c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  <c r="AA86" s="28"/>
      <c r="AB86" s="28"/>
      <c r="AC86" s="28"/>
    </row>
    <row r="87" spans="1:30" s="44" customFormat="1" ht="15.75" thickBot="1" x14ac:dyDescent="0.3">
      <c r="A87" s="43">
        <v>6</v>
      </c>
      <c r="B87" s="28" t="s">
        <v>104</v>
      </c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  <c r="AA87" s="28"/>
      <c r="AB87" s="28"/>
      <c r="AC87" s="28"/>
    </row>
    <row r="88" spans="1:30" s="44" customFormat="1" ht="15.75" thickBot="1" x14ac:dyDescent="0.3">
      <c r="A88" s="43">
        <v>7</v>
      </c>
      <c r="B88" s="28" t="s">
        <v>105</v>
      </c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  <c r="AA88" s="28"/>
      <c r="AB88" s="28"/>
      <c r="AC88" s="28"/>
    </row>
    <row r="89" spans="1:30" s="44" customFormat="1" ht="15.75" thickBot="1" x14ac:dyDescent="0.3">
      <c r="A89" s="43">
        <v>8</v>
      </c>
      <c r="B89" s="28" t="s">
        <v>106</v>
      </c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  <c r="AA89" s="28"/>
      <c r="AB89" s="28"/>
      <c r="AC89" s="28"/>
    </row>
    <row r="90" spans="1:30" s="44" customFormat="1" ht="15.75" thickBot="1" x14ac:dyDescent="0.3">
      <c r="A90" s="43">
        <v>9</v>
      </c>
      <c r="B90" s="28" t="s">
        <v>107</v>
      </c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  <c r="AA90" s="28"/>
      <c r="AB90" s="28"/>
      <c r="AC90" s="28"/>
      <c r="AD90" s="4"/>
    </row>
    <row r="91" spans="1:30" s="44" customFormat="1" ht="15.75" thickBot="1" x14ac:dyDescent="0.3">
      <c r="A91" s="43">
        <v>10</v>
      </c>
      <c r="B91" s="28" t="s">
        <v>108</v>
      </c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  <c r="AA91" s="28"/>
      <c r="AB91" s="28"/>
      <c r="AC91" s="28"/>
    </row>
    <row r="92" spans="1:30" s="44" customFormat="1" ht="15.75" thickBot="1" x14ac:dyDescent="0.3">
      <c r="A92" s="43">
        <v>11</v>
      </c>
      <c r="B92" s="28" t="s">
        <v>109</v>
      </c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  <c r="AA92" s="28"/>
      <c r="AB92" s="28"/>
      <c r="AC92" s="28"/>
      <c r="AD92" s="4"/>
    </row>
    <row r="93" spans="1:30" s="44" customFormat="1" ht="15.75" thickBot="1" x14ac:dyDescent="0.3">
      <c r="A93" s="43">
        <v>12</v>
      </c>
      <c r="B93" s="28" t="s">
        <v>110</v>
      </c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  <c r="AA93" s="28"/>
      <c r="AB93" s="28"/>
      <c r="AC93" s="28"/>
    </row>
    <row r="94" spans="1:30" s="44" customFormat="1" ht="15.75" thickBot="1" x14ac:dyDescent="0.3">
      <c r="A94" s="43">
        <v>13</v>
      </c>
      <c r="B94" s="28" t="s">
        <v>111</v>
      </c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  <c r="AA94" s="28"/>
      <c r="AB94" s="28"/>
      <c r="AC94" s="28"/>
    </row>
    <row r="95" spans="1:30" s="44" customFormat="1" ht="15.75" thickBot="1" x14ac:dyDescent="0.3">
      <c r="A95" s="43">
        <v>14</v>
      </c>
      <c r="B95" s="28" t="s">
        <v>112</v>
      </c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  <c r="AA95" s="28"/>
      <c r="AB95" s="28"/>
      <c r="AC95" s="28"/>
    </row>
    <row r="96" spans="1:30" s="44" customFormat="1" ht="15.75" thickBot="1" x14ac:dyDescent="0.3">
      <c r="A96" s="43">
        <v>15</v>
      </c>
      <c r="B96" s="28" t="s">
        <v>113</v>
      </c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  <c r="AA96" s="28"/>
      <c r="AB96" s="28"/>
      <c r="AC96" s="28"/>
    </row>
    <row r="97" spans="1:31" s="44" customFormat="1" ht="15.75" thickBot="1" x14ac:dyDescent="0.3">
      <c r="A97" s="43">
        <v>16</v>
      </c>
      <c r="B97" s="28" t="s">
        <v>114</v>
      </c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  <c r="AA97" s="28"/>
      <c r="AB97" s="28"/>
      <c r="AC97" s="28"/>
    </row>
    <row r="98" spans="1:31" s="44" customFormat="1" ht="15.75" thickBot="1" x14ac:dyDescent="0.3">
      <c r="A98" s="43">
        <v>17</v>
      </c>
      <c r="B98" s="28" t="s">
        <v>115</v>
      </c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  <c r="AA98" s="28"/>
      <c r="AB98" s="28"/>
      <c r="AC98" s="28"/>
    </row>
    <row r="99" spans="1:31" s="44" customFormat="1" ht="15.75" thickBot="1" x14ac:dyDescent="0.3">
      <c r="A99" s="43">
        <v>18</v>
      </c>
      <c r="B99" s="28" t="s">
        <v>116</v>
      </c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  <c r="AA99" s="28"/>
      <c r="AB99" s="28"/>
      <c r="AC99" s="28"/>
    </row>
    <row r="100" spans="1:31" s="44" customFormat="1" ht="15.75" thickBot="1" x14ac:dyDescent="0.3">
      <c r="A100" s="43">
        <v>19</v>
      </c>
      <c r="B100" s="28" t="s">
        <v>117</v>
      </c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  <c r="AA100" s="28"/>
      <c r="AB100" s="28"/>
      <c r="AC100" s="28"/>
    </row>
    <row r="101" spans="1:31" s="44" customFormat="1" ht="15.75" thickBot="1" x14ac:dyDescent="0.3">
      <c r="A101" s="29">
        <v>20</v>
      </c>
      <c r="B101" s="28" t="s">
        <v>118</v>
      </c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  <c r="AA101" s="28"/>
      <c r="AB101" s="28"/>
      <c r="AC101" s="28"/>
      <c r="AD101" s="5"/>
      <c r="AE101" s="5"/>
    </row>
    <row r="102" spans="1:31" s="44" customFormat="1" ht="15.75" thickBot="1" x14ac:dyDescent="0.3">
      <c r="A102" s="43">
        <v>21</v>
      </c>
      <c r="B102" s="28" t="s">
        <v>119</v>
      </c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  <c r="AA102" s="28"/>
      <c r="AB102" s="28"/>
      <c r="AC102" s="28"/>
    </row>
    <row r="103" spans="1:31" s="44" customFormat="1" ht="15.75" thickBot="1" x14ac:dyDescent="0.3">
      <c r="A103" s="43">
        <v>22</v>
      </c>
      <c r="B103" s="28" t="s">
        <v>120</v>
      </c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  <c r="AA103" s="28"/>
      <c r="AB103" s="28"/>
      <c r="AC103" s="28"/>
    </row>
    <row r="104" spans="1:31" s="44" customFormat="1" ht="15.75" thickBot="1" x14ac:dyDescent="0.3">
      <c r="A104" s="43">
        <v>23</v>
      </c>
      <c r="B104" s="28" t="s">
        <v>121</v>
      </c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  <c r="AA104" s="28"/>
      <c r="AB104" s="28"/>
      <c r="AC104" s="28"/>
    </row>
    <row r="105" spans="1:31" s="44" customFormat="1" ht="15.75" thickBot="1" x14ac:dyDescent="0.3">
      <c r="A105" s="43">
        <v>24</v>
      </c>
      <c r="B105" s="28" t="s">
        <v>122</v>
      </c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  <c r="AA105" s="28"/>
      <c r="AB105" s="28"/>
      <c r="AC105" s="28"/>
    </row>
    <row r="106" spans="1:31" s="44" customFormat="1" ht="15.75" thickBot="1" x14ac:dyDescent="0.3">
      <c r="A106" s="43">
        <v>25</v>
      </c>
      <c r="B106" s="28" t="s">
        <v>123</v>
      </c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  <c r="AA106" s="28"/>
      <c r="AB106" s="28"/>
      <c r="AC106" s="28"/>
    </row>
    <row r="107" spans="1:31" s="44" customFormat="1" ht="15.75" thickBot="1" x14ac:dyDescent="0.3">
      <c r="A107" s="43">
        <v>26</v>
      </c>
      <c r="B107" s="28" t="s">
        <v>124</v>
      </c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  <c r="AA107" s="28"/>
      <c r="AB107" s="28"/>
      <c r="AC107" s="28"/>
    </row>
  </sheetData>
  <mergeCells count="56">
    <mergeCell ref="B2:AC2"/>
    <mergeCell ref="B3:B7"/>
    <mergeCell ref="C3:C7"/>
    <mergeCell ref="D3:K3"/>
    <mergeCell ref="L3:AC3"/>
    <mergeCell ref="D4:K4"/>
    <mergeCell ref="L4:S4"/>
    <mergeCell ref="T4:AC4"/>
    <mergeCell ref="D5:E6"/>
    <mergeCell ref="F5:F7"/>
    <mergeCell ref="R5:S5"/>
    <mergeCell ref="T5:Y5"/>
    <mergeCell ref="Z5:AC5"/>
    <mergeCell ref="L6:M6"/>
    <mergeCell ref="N6:O6"/>
    <mergeCell ref="P6:Q6"/>
    <mergeCell ref="Z6:AA6"/>
    <mergeCell ref="AB6:AC6"/>
    <mergeCell ref="B81:AC81"/>
    <mergeCell ref="B82:AC82"/>
    <mergeCell ref="B83:AC83"/>
    <mergeCell ref="G5:G7"/>
    <mergeCell ref="H5:H7"/>
    <mergeCell ref="I5:I7"/>
    <mergeCell ref="J5:J7"/>
    <mergeCell ref="K5:K7"/>
    <mergeCell ref="R6:S6"/>
    <mergeCell ref="T6:U6"/>
    <mergeCell ref="V6:W6"/>
    <mergeCell ref="X6:Y6"/>
    <mergeCell ref="L5:Q5"/>
    <mergeCell ref="B78:C78"/>
    <mergeCell ref="B107:AC107"/>
    <mergeCell ref="B89:AC89"/>
    <mergeCell ref="B102:AC102"/>
    <mergeCell ref="B91:AC91"/>
    <mergeCell ref="B92:AC92"/>
    <mergeCell ref="B93:AC93"/>
    <mergeCell ref="B94:AC94"/>
    <mergeCell ref="B95:AC95"/>
    <mergeCell ref="B96:AC96"/>
    <mergeCell ref="B97:AC97"/>
    <mergeCell ref="B98:AC98"/>
    <mergeCell ref="B99:AC99"/>
    <mergeCell ref="B100:AC100"/>
    <mergeCell ref="B101:AC101"/>
    <mergeCell ref="B90:AC90"/>
    <mergeCell ref="B103:AC103"/>
    <mergeCell ref="B104:AC104"/>
    <mergeCell ref="B105:AC105"/>
    <mergeCell ref="B106:AC106"/>
    <mergeCell ref="B84:AC84"/>
    <mergeCell ref="B85:AC85"/>
    <mergeCell ref="B86:AC86"/>
    <mergeCell ref="B87:AC87"/>
    <mergeCell ref="B88:AC8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August 2026</vt:lpstr>
    </vt:vector>
  </TitlesOfParts>
  <Company>RBI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Suvarna Suresh Jadhav</dc:creator>
  <cp:lastModifiedBy>RBIWebsite Support, Nitin</cp:lastModifiedBy>
  <dcterms:created xsi:type="dcterms:W3CDTF">2026-09-15T06:34:34Z</dcterms:created>
  <dcterms:modified xsi:type="dcterms:W3CDTF">2026-09-24T07:00:15Z</dcterms:modified>
</cp:coreProperties>
</file>