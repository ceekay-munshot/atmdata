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8 August 2026\25-08-26\Upl\Interim Card Statistics for website- July 2026\"/>
    </mc:Choice>
  </mc:AlternateContent>
  <xr:revisionPtr revIDLastSave="0" documentId="13_ncr:1_{2115039E-AA15-45AD-B1EE-7111EBDDE22F}" xr6:coauthVersionLast="47" xr6:coauthVersionMax="47" xr10:uidLastSave="{00000000-0000-0000-0000-000000000000}"/>
  <bookViews>
    <workbookView xWindow="-120" yWindow="-120" windowWidth="29040" windowHeight="15720" xr2:uid="{C265E978-4423-460C-BD64-7B1D1E0147B7}"/>
  </bookViews>
  <sheets>
    <sheet name="July 2026" sheetId="1" r:id="rId1"/>
  </sheets>
  <definedNames>
    <definedName name="_xlnm._FilterDatabase" localSheetId="0" hidden="1">'July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8" i="1" l="1"/>
  <c r="R78" i="1"/>
  <c r="J78" i="1"/>
  <c r="E78" i="1"/>
  <c r="D78" i="1"/>
  <c r="AC78" i="1"/>
  <c r="AB78" i="1"/>
  <c r="AA78" i="1"/>
  <c r="Y78" i="1"/>
  <c r="X78" i="1"/>
  <c r="W78" i="1"/>
  <c r="V78" i="1"/>
  <c r="U78" i="1"/>
  <c r="T78" i="1"/>
  <c r="S78" i="1"/>
  <c r="Q78" i="1"/>
  <c r="P78" i="1"/>
  <c r="O78" i="1"/>
  <c r="N78" i="1"/>
  <c r="M78" i="1"/>
  <c r="L78" i="1"/>
  <c r="K78" i="1"/>
  <c r="I78" i="1"/>
  <c r="H78" i="1"/>
  <c r="G78" i="1"/>
  <c r="F78" i="1"/>
</calcChain>
</file>

<file path=xl/sharedStrings.xml><?xml version="1.0" encoding="utf-8"?>
<sst xmlns="http://schemas.openxmlformats.org/spreadsheetml/2006/main" count="146" uniqueCount="124">
  <si>
    <t>ATM, Acceptance Infrastructure and Card Statistics for the Month of July 2026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</si>
  <si>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</si>
  <si>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</si>
  <si>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</si>
  <si>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</si>
  <si>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</si>
  <si>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</si>
  <si>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</si>
  <si>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</si>
  <si>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</si>
  <si>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</si>
  <si>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</si>
  <si>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</si>
  <si>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</si>
  <si>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</si>
  <si>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</si>
  <si>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</si>
  <si>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</si>
  <si>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</si>
  <si>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</si>
  <si>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</si>
  <si>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</si>
  <si>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</si>
  <si>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</si>
  <si>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</si>
  <si>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</si>
  <si>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</si>
  <si>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</si>
  <si>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</si>
  <si>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</si>
  <si>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</si>
  <si>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</si>
  <si>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</si>
  <si>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</si>
  <si>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</si>
  <si>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</si>
  <si>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</si>
  <si>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</si>
  <si>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</si>
  <si>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</si>
  <si>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</si>
  <si>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</si>
  <si>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</si>
  <si>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</si>
  <si>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</si>
  <si>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</si>
  <si>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</si>
  <si>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</si>
  <si>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</si>
  <si>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</si>
  <si>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</si>
  <si>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</si>
  <si>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</si>
  <si>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</si>
  <si>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</si>
  <si>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</si>
  <si>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</si>
  <si>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</si>
  <si>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</si>
  <si>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</si>
  <si>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</si>
  <si>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</si>
  <si>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</si>
  <si>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</si>
  <si>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</si>
  <si>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</si>
  <si>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</si>
  <si>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</si>
  <si>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</si>
  <si>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</si>
  <si>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</si>
  <si>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</si>
  <si>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</si>
  <si>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</si>
  <si>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</si>
  <si>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</si>
  <si>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</si>
  <si>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</si>
  <si>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</si>
  <si>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</si>
  <si>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</si>
  <si>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</si>
  <si>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</si>
  <si>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</si>
  <si>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</si>
  <si>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</si>
  <si>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</si>
  <si>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</si>
  <si>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</si>
  <si>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</si>
  <si>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</si>
  <si>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</si>
  <si>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</si>
  <si>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</si>
  <si>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</si>
  <si>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</si>
  <si>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</si>
  <si>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 The data is provisional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</si>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</sst>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9">
    <xf numFmtId="0" fontId="0" fillId="0" borderId="0" xfId="0"/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right"/>
    </xf>
    <xf numFmtId="1" fontId="8" fillId="2" borderId="2" xfId="0" applyNumberFormat="1" applyFont="1" applyFill="1" applyBorder="1"/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right"/>
    </xf>
    <xf numFmtId="0" fontId="0" fillId="2" borderId="0" xfId="0" applyFill="1"/>
    <xf numFmtId="0" fontId="6" fillId="2" borderId="2" xfId="0" applyFont="1" applyFill="1" applyBorder="1" applyAlignment="1" applyProtection="1">
      <alignment vertical="center"/>
      <protection locked="0"/>
    </xf>
    <xf numFmtId="0" fontId="0" fillId="2" borderId="2" xfId="0" applyFill="1" applyBorder="1" applyProtection="1">
      <protection locked="0"/>
    </xf>
    <xf numFmtId="0" fontId="0" fillId="2" borderId="0" xfId="0" applyFill="1" applyAlignment="1">
      <alignment horizontal="left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right" vertical="top"/>
    </xf>
    <xf numFmtId="1" fontId="8" fillId="2" borderId="2" xfId="0" applyNumberFormat="1" applyFont="1" applyFill="1" applyBorder="1" applyAlignment="1">
      <alignment vertical="top"/>
    </xf>
    <xf numFmtId="1" fontId="6" fillId="2" borderId="2" xfId="0" applyNumberFormat="1" applyFont="1" applyFill="1" applyBorder="1" applyAlignment="1" applyProtection="1">
      <alignment horizontal="right" vertic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1" fontId="6" fillId="2" borderId="3" xfId="0" applyNumberFormat="1" applyFont="1" applyFill="1" applyBorder="1" applyAlignment="1" applyProtection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0" fontId="9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0" xfId="1" applyFont="1" applyFill="1" applyBorder="1" applyAlignment="1" applyProtection="1">
      <alignment horizontal="left" vertical="center" wrapText="1"/>
      <protection locked="0"/>
    </xf>
    <xf numFmtId="0" fontId="9" fillId="2" borderId="2" xfId="1" applyFont="1" applyFill="1" applyBorder="1" applyAlignment="1" applyProtection="1">
      <alignment vertical="center" wrapText="1"/>
      <protection locked="0"/>
    </xf>
    <xf numFmtId="164" fontId="9" fillId="2" borderId="2" xfId="1" applyNumberFormat="1" applyFont="1" applyFill="1" applyBorder="1" applyAlignment="1" applyProtection="1">
      <alignment horizontal="right" vertical="center" wrapText="1"/>
      <protection locked="0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top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left" vertical="center" wrapText="1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798422FC-622D-441C-ACAB-545AA2B4FF4D}"/>
    <cellStyle name="Normal 2 2" xfId="1" xr:uid="{5D8FCFA8-1787-449C-9BF7-FDD3CB183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EC1-5E90-47E8-8C79-CB72DBA0CCEA}">
  <dimension ref="A2:AE107"/>
  <sheetViews>
    <sheetView tabSelected="1" zoomScaleNormal="100" workbookViewId="0">
      <selection activeCell="A2" sqref="A2"/>
    </sheetView>
  </sheetViews>
  <sheetFormatPr defaultColWidth="8.85546875" defaultRowHeight="15" x14ac:dyDescent="0.25"/>
  <cols>
    <col min="1" max="1" width="1.42578125" style="11" customWidth="1"/>
    <col min="2" max="2" width="8.7109375" style="8" customWidth="1"/>
    <col min="3" max="3" width="46.140625" style="8" customWidth="1"/>
    <col min="4" max="4" width="8.28515625" style="29" customWidth="1"/>
    <col min="5" max="5" width="7.42578125" style="29" customWidth="1"/>
    <col min="6" max="6" width="9.7109375" style="8" customWidth="1"/>
    <col min="7" max="7" width="9.28515625" style="8" customWidth="1"/>
    <col min="8" max="8" width="10.42578125" style="8" customWidth="1"/>
    <col min="9" max="9" width="11.5703125" style="8" customWidth="1"/>
    <col min="10" max="10" width="11" style="8" customWidth="1"/>
    <col min="11" max="11" width="10.7109375" style="8" customWidth="1"/>
    <col min="12" max="12" width="10.28515625" style="8" bestFit="1" customWidth="1"/>
    <col min="13" max="13" width="12" style="8" bestFit="1" customWidth="1"/>
    <col min="14" max="14" width="10" style="8" bestFit="1" customWidth="1"/>
    <col min="15" max="15" width="12" style="8" bestFit="1" customWidth="1"/>
    <col min="16" max="16" width="9.28515625" style="8" customWidth="1"/>
    <col min="17" max="17" width="8.85546875" style="8" customWidth="1"/>
    <col min="18" max="18" width="8.140625" style="8" customWidth="1"/>
    <col min="19" max="19" width="9.5703125" style="8" customWidth="1"/>
    <col min="20" max="20" width="10" style="8" bestFit="1" customWidth="1"/>
    <col min="21" max="21" width="11.140625" style="8" customWidth="1"/>
    <col min="22" max="22" width="9.28515625" style="8" customWidth="1"/>
    <col min="23" max="23" width="10.42578125" style="8" customWidth="1"/>
    <col min="24" max="24" width="8.42578125" style="8" customWidth="1"/>
    <col min="25" max="25" width="9.5703125" style="8" customWidth="1"/>
    <col min="26" max="26" width="10" style="8" bestFit="1" customWidth="1"/>
    <col min="27" max="27" width="11.28515625" style="8" customWidth="1"/>
    <col min="28" max="28" width="9.28515625" style="8" customWidth="1"/>
    <col min="29" max="29" width="8.7109375" style="8" customWidth="1"/>
    <col min="30" max="30" width="12.28515625" style="8" customWidth="1"/>
    <col min="31" max="16384" width="8.85546875" style="8"/>
  </cols>
  <sheetData>
    <row r="2" spans="1:29" x14ac:dyDescent="0.25">
      <c r="B2" s="47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x14ac:dyDescent="0.25">
      <c r="B3" s="47" t="s">
        <v>1</v>
      </c>
      <c r="C3" s="47" t="s">
        <v>2</v>
      </c>
      <c r="D3" s="48" t="s">
        <v>3</v>
      </c>
      <c r="E3" s="48"/>
      <c r="F3" s="48"/>
      <c r="G3" s="48"/>
      <c r="H3" s="48"/>
      <c r="I3" s="48"/>
      <c r="J3" s="48"/>
      <c r="K3" s="48"/>
      <c r="L3" s="47" t="s">
        <v>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 x14ac:dyDescent="0.25">
      <c r="B4" s="47"/>
      <c r="C4" s="47"/>
      <c r="D4" s="46" t="s">
        <v>5</v>
      </c>
      <c r="E4" s="46"/>
      <c r="F4" s="46"/>
      <c r="G4" s="46"/>
      <c r="H4" s="46"/>
      <c r="I4" s="46"/>
      <c r="J4" s="46"/>
      <c r="K4" s="46"/>
      <c r="L4" s="47" t="s">
        <v>6</v>
      </c>
      <c r="M4" s="47"/>
      <c r="N4" s="47"/>
      <c r="O4" s="47"/>
      <c r="P4" s="47"/>
      <c r="Q4" s="47"/>
      <c r="R4" s="47"/>
      <c r="S4" s="47"/>
      <c r="T4" s="47" t="s">
        <v>7</v>
      </c>
      <c r="U4" s="47"/>
      <c r="V4" s="47"/>
      <c r="W4" s="47"/>
      <c r="X4" s="47"/>
      <c r="Y4" s="47"/>
      <c r="Z4" s="47"/>
      <c r="AA4" s="47"/>
      <c r="AB4" s="47"/>
      <c r="AC4" s="47"/>
    </row>
    <row r="5" spans="1:29" x14ac:dyDescent="0.25">
      <c r="B5" s="47"/>
      <c r="C5" s="47"/>
      <c r="D5" s="46" t="s">
        <v>8</v>
      </c>
      <c r="E5" s="46"/>
      <c r="F5" s="46" t="s">
        <v>9</v>
      </c>
      <c r="G5" s="46" t="s">
        <v>10</v>
      </c>
      <c r="H5" s="46" t="s">
        <v>11</v>
      </c>
      <c r="I5" s="46" t="s">
        <v>12</v>
      </c>
      <c r="J5" s="46" t="s">
        <v>13</v>
      </c>
      <c r="K5" s="46" t="s">
        <v>14</v>
      </c>
      <c r="L5" s="47" t="s">
        <v>15</v>
      </c>
      <c r="M5" s="47"/>
      <c r="N5" s="47"/>
      <c r="O5" s="47"/>
      <c r="P5" s="47"/>
      <c r="Q5" s="47"/>
      <c r="R5" s="47" t="s">
        <v>16</v>
      </c>
      <c r="S5" s="47"/>
      <c r="T5" s="47" t="s">
        <v>15</v>
      </c>
      <c r="U5" s="47"/>
      <c r="V5" s="47"/>
      <c r="W5" s="47"/>
      <c r="X5" s="47"/>
      <c r="Y5" s="47"/>
      <c r="Z5" s="47" t="s">
        <v>16</v>
      </c>
      <c r="AA5" s="47"/>
      <c r="AB5" s="47"/>
      <c r="AC5" s="47"/>
    </row>
    <row r="6" spans="1:29" x14ac:dyDescent="0.25">
      <c r="B6" s="47"/>
      <c r="C6" s="47"/>
      <c r="D6" s="46"/>
      <c r="E6" s="46"/>
      <c r="F6" s="46"/>
      <c r="G6" s="46"/>
      <c r="H6" s="46"/>
      <c r="I6" s="46"/>
      <c r="J6" s="46"/>
      <c r="K6" s="46"/>
      <c r="L6" s="46" t="s">
        <v>17</v>
      </c>
      <c r="M6" s="46"/>
      <c r="N6" s="46" t="s">
        <v>18</v>
      </c>
      <c r="O6" s="46"/>
      <c r="P6" s="47" t="s">
        <v>19</v>
      </c>
      <c r="Q6" s="47"/>
      <c r="R6" s="47" t="s">
        <v>20</v>
      </c>
      <c r="S6" s="47"/>
      <c r="T6" s="46" t="s">
        <v>17</v>
      </c>
      <c r="U6" s="46"/>
      <c r="V6" s="46" t="s">
        <v>18</v>
      </c>
      <c r="W6" s="46"/>
      <c r="X6" s="47" t="s">
        <v>19</v>
      </c>
      <c r="Y6" s="47"/>
      <c r="Z6" s="46" t="s">
        <v>21</v>
      </c>
      <c r="AA6" s="46"/>
      <c r="AB6" s="46" t="s">
        <v>9</v>
      </c>
      <c r="AC6" s="46"/>
    </row>
    <row r="7" spans="1:29" s="31" customFormat="1" ht="45" x14ac:dyDescent="0.25">
      <c r="A7" s="30"/>
      <c r="B7" s="47"/>
      <c r="C7" s="47"/>
      <c r="D7" s="21" t="s">
        <v>22</v>
      </c>
      <c r="E7" s="22" t="s">
        <v>23</v>
      </c>
      <c r="F7" s="46"/>
      <c r="G7" s="46"/>
      <c r="H7" s="46"/>
      <c r="I7" s="46"/>
      <c r="J7" s="46"/>
      <c r="K7" s="46"/>
      <c r="L7" s="23" t="s">
        <v>24</v>
      </c>
      <c r="M7" s="23" t="s">
        <v>25</v>
      </c>
      <c r="N7" s="23" t="s">
        <v>24</v>
      </c>
      <c r="O7" s="23" t="s">
        <v>25</v>
      </c>
      <c r="P7" s="23" t="s">
        <v>24</v>
      </c>
      <c r="Q7" s="23" t="s">
        <v>25</v>
      </c>
      <c r="R7" s="23" t="s">
        <v>24</v>
      </c>
      <c r="S7" s="23" t="s">
        <v>25</v>
      </c>
      <c r="T7" s="23" t="s">
        <v>24</v>
      </c>
      <c r="U7" s="23" t="s">
        <v>25</v>
      </c>
      <c r="V7" s="23" t="s">
        <v>24</v>
      </c>
      <c r="W7" s="23" t="s">
        <v>25</v>
      </c>
      <c r="X7" s="23" t="s">
        <v>24</v>
      </c>
      <c r="Y7" s="23" t="s">
        <v>25</v>
      </c>
      <c r="Z7" s="23" t="s">
        <v>24</v>
      </c>
      <c r="AA7" s="23" t="s">
        <v>25</v>
      </c>
      <c r="AB7" s="23" t="s">
        <v>24</v>
      </c>
      <c r="AC7" s="23" t="s">
        <v>25</v>
      </c>
    </row>
    <row r="8" spans="1:29" x14ac:dyDescent="0.25">
      <c r="B8" s="24"/>
      <c r="C8" s="24"/>
      <c r="D8" s="21">
        <v>1</v>
      </c>
      <c r="E8" s="21">
        <v>2</v>
      </c>
      <c r="F8" s="21">
        <v>3</v>
      </c>
      <c r="G8" s="21">
        <v>4</v>
      </c>
      <c r="H8" s="21">
        <v>5</v>
      </c>
      <c r="I8" s="21">
        <v>6</v>
      </c>
      <c r="J8" s="21">
        <v>7</v>
      </c>
      <c r="K8" s="21">
        <v>8</v>
      </c>
      <c r="L8" s="21">
        <v>9</v>
      </c>
      <c r="M8" s="21">
        <v>10</v>
      </c>
      <c r="N8" s="21">
        <v>11</v>
      </c>
      <c r="O8" s="21">
        <v>12</v>
      </c>
      <c r="P8" s="21">
        <v>13</v>
      </c>
      <c r="Q8" s="21">
        <v>14</v>
      </c>
      <c r="R8" s="21">
        <v>15</v>
      </c>
      <c r="S8" s="21">
        <v>16</v>
      </c>
      <c r="T8" s="21">
        <v>17</v>
      </c>
      <c r="U8" s="21">
        <v>18</v>
      </c>
      <c r="V8" s="21">
        <v>19</v>
      </c>
      <c r="W8" s="21">
        <v>20</v>
      </c>
      <c r="X8" s="21">
        <v>21</v>
      </c>
      <c r="Y8" s="21">
        <v>22</v>
      </c>
      <c r="Z8" s="21">
        <v>23</v>
      </c>
      <c r="AA8" s="21">
        <v>24</v>
      </c>
      <c r="AB8" s="21">
        <v>25</v>
      </c>
      <c r="AC8" s="21">
        <v>26</v>
      </c>
    </row>
    <row r="9" spans="1:29" x14ac:dyDescent="0.25">
      <c r="B9" s="9" t="s">
        <v>26</v>
      </c>
      <c r="C9" s="9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9" t="s">
        <v>27</v>
      </c>
      <c r="C10" s="1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B11" s="42">
        <v>1</v>
      </c>
      <c r="C11" s="3" t="s">
        <v>28</v>
      </c>
      <c r="D11" s="4">
        <v>9130</v>
      </c>
      <c r="E11" s="4">
        <v>2500</v>
      </c>
      <c r="F11" s="4">
        <v>63095</v>
      </c>
      <c r="G11" s="4">
        <v>40841</v>
      </c>
      <c r="H11" s="4">
        <v>29370</v>
      </c>
      <c r="I11" s="4">
        <v>3454527</v>
      </c>
      <c r="J11" s="4">
        <v>3276029</v>
      </c>
      <c r="K11" s="4">
        <v>81796116</v>
      </c>
      <c r="L11" s="5">
        <v>11326831</v>
      </c>
      <c r="M11" s="5">
        <v>19749554.026009999</v>
      </c>
      <c r="N11" s="5">
        <v>4444352</v>
      </c>
      <c r="O11" s="5">
        <v>17568610.03015</v>
      </c>
      <c r="P11" s="5">
        <v>0</v>
      </c>
      <c r="Q11" s="5">
        <v>0</v>
      </c>
      <c r="R11" s="5">
        <v>11704</v>
      </c>
      <c r="S11" s="5">
        <v>66497.7</v>
      </c>
      <c r="T11" s="5">
        <v>2443318</v>
      </c>
      <c r="U11" s="5">
        <v>5969294.6648199996</v>
      </c>
      <c r="V11" s="5">
        <v>321298</v>
      </c>
      <c r="W11" s="5">
        <v>2070834.2893299996</v>
      </c>
      <c r="X11" s="5">
        <v>22</v>
      </c>
      <c r="Y11" s="5">
        <v>68.349999999999994</v>
      </c>
      <c r="Z11" s="5">
        <v>19981021</v>
      </c>
      <c r="AA11" s="5">
        <v>103869040.086</v>
      </c>
      <c r="AB11" s="5">
        <v>2</v>
      </c>
      <c r="AC11" s="5">
        <v>1.2</v>
      </c>
    </row>
    <row r="12" spans="1:29" x14ac:dyDescent="0.25">
      <c r="B12" s="42">
        <v>2</v>
      </c>
      <c r="C12" s="3" t="s">
        <v>29</v>
      </c>
      <c r="D12" s="4">
        <v>5226</v>
      </c>
      <c r="E12" s="4">
        <v>2456</v>
      </c>
      <c r="F12" s="4">
        <v>20209</v>
      </c>
      <c r="G12" s="4">
        <v>26051</v>
      </c>
      <c r="H12" s="4">
        <v>0</v>
      </c>
      <c r="I12" s="4">
        <v>1496569</v>
      </c>
      <c r="J12" s="4">
        <v>137334</v>
      </c>
      <c r="K12" s="4">
        <v>38524838</v>
      </c>
      <c r="L12" s="5">
        <v>115141</v>
      </c>
      <c r="M12" s="5">
        <v>584248.34110000008</v>
      </c>
      <c r="N12" s="5">
        <v>600680</v>
      </c>
      <c r="O12" s="5">
        <v>1117381.9390199999</v>
      </c>
      <c r="P12" s="5">
        <v>0</v>
      </c>
      <c r="Q12" s="5">
        <v>0</v>
      </c>
      <c r="R12" s="5">
        <v>8660</v>
      </c>
      <c r="S12" s="5">
        <v>51484.382909999993</v>
      </c>
      <c r="T12" s="5">
        <v>1703104</v>
      </c>
      <c r="U12" s="5">
        <v>3915044.10934</v>
      </c>
      <c r="V12" s="5">
        <v>282933</v>
      </c>
      <c r="W12" s="5">
        <v>1014321.7924500001</v>
      </c>
      <c r="X12" s="5">
        <v>0</v>
      </c>
      <c r="Y12" s="5">
        <v>0</v>
      </c>
      <c r="Z12" s="5">
        <v>12877193</v>
      </c>
      <c r="AA12" s="5">
        <v>57340418.623999998</v>
      </c>
      <c r="AB12" s="5">
        <v>0</v>
      </c>
      <c r="AC12" s="5">
        <v>0</v>
      </c>
    </row>
    <row r="13" spans="1:29" s="33" customFormat="1" ht="16.5" customHeight="1" x14ac:dyDescent="0.2">
      <c r="A13" s="32"/>
      <c r="B13" s="42">
        <v>3</v>
      </c>
      <c r="C13" s="6" t="s">
        <v>30</v>
      </c>
      <c r="D13" s="7">
        <v>2503</v>
      </c>
      <c r="E13" s="7">
        <v>246</v>
      </c>
      <c r="F13" s="7">
        <v>1050</v>
      </c>
      <c r="G13" s="7">
        <v>6860</v>
      </c>
      <c r="H13" s="7">
        <v>355014</v>
      </c>
      <c r="I13" s="7">
        <v>979985</v>
      </c>
      <c r="J13" s="7">
        <v>0</v>
      </c>
      <c r="K13" s="7">
        <v>9747398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787107</v>
      </c>
      <c r="U13" s="5">
        <v>1849490.47016</v>
      </c>
      <c r="V13" s="5">
        <v>92613</v>
      </c>
      <c r="W13" s="5">
        <v>448808.91589999996</v>
      </c>
      <c r="X13" s="5">
        <v>5406</v>
      </c>
      <c r="Y13" s="5">
        <v>54711.660159999999</v>
      </c>
      <c r="Z13" s="5">
        <v>4878553</v>
      </c>
      <c r="AA13" s="5">
        <v>25151546.057440002</v>
      </c>
      <c r="AB13" s="5">
        <v>0</v>
      </c>
      <c r="AC13" s="5">
        <v>0</v>
      </c>
    </row>
    <row r="14" spans="1:29" x14ac:dyDescent="0.25">
      <c r="B14" s="42">
        <v>4</v>
      </c>
      <c r="C14" s="3" t="s">
        <v>31</v>
      </c>
      <c r="D14" s="4">
        <v>7903</v>
      </c>
      <c r="E14" s="4">
        <v>2988</v>
      </c>
      <c r="F14" s="4">
        <v>95355</v>
      </c>
      <c r="G14" s="4">
        <v>12738</v>
      </c>
      <c r="H14" s="4">
        <v>0</v>
      </c>
      <c r="I14" s="4">
        <v>4489241</v>
      </c>
      <c r="J14" s="4">
        <v>1207152</v>
      </c>
      <c r="K14" s="4">
        <v>60770142</v>
      </c>
      <c r="L14" s="5">
        <v>1163067</v>
      </c>
      <c r="M14" s="5">
        <v>4810016.1186800003</v>
      </c>
      <c r="N14" s="5">
        <v>576005</v>
      </c>
      <c r="O14" s="5">
        <v>3289991.0579299997</v>
      </c>
      <c r="P14" s="5">
        <v>0</v>
      </c>
      <c r="Q14" s="5">
        <v>0</v>
      </c>
      <c r="R14" s="5">
        <v>88317</v>
      </c>
      <c r="S14" s="5">
        <v>528287.1</v>
      </c>
      <c r="T14" s="5">
        <v>4726775</v>
      </c>
      <c r="U14" s="5">
        <v>13943052.67474</v>
      </c>
      <c r="V14" s="5">
        <v>877363</v>
      </c>
      <c r="W14" s="5">
        <v>5738402.6259799991</v>
      </c>
      <c r="X14" s="5">
        <v>5008</v>
      </c>
      <c r="Y14" s="5">
        <v>101589.15399999999</v>
      </c>
      <c r="Z14" s="5">
        <v>26615859</v>
      </c>
      <c r="AA14" s="5">
        <v>138030837.498</v>
      </c>
      <c r="AB14" s="5">
        <v>3</v>
      </c>
      <c r="AC14" s="5">
        <v>4.5880000000000001</v>
      </c>
    </row>
    <row r="15" spans="1:29" x14ac:dyDescent="0.25">
      <c r="B15" s="42">
        <v>5</v>
      </c>
      <c r="C15" s="3" t="s">
        <v>32</v>
      </c>
      <c r="D15" s="4">
        <v>2871</v>
      </c>
      <c r="E15" s="4">
        <v>948</v>
      </c>
      <c r="F15" s="4">
        <v>3244</v>
      </c>
      <c r="G15" s="4">
        <v>2626</v>
      </c>
      <c r="H15" s="4">
        <v>38138</v>
      </c>
      <c r="I15" s="4">
        <v>1587631</v>
      </c>
      <c r="J15" s="4">
        <v>0</v>
      </c>
      <c r="K15" s="4">
        <v>30089992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903524</v>
      </c>
      <c r="U15" s="5">
        <v>2547103.84418</v>
      </c>
      <c r="V15" s="5">
        <v>157799</v>
      </c>
      <c r="W15" s="5">
        <v>805534.39639999997</v>
      </c>
      <c r="X15" s="5">
        <v>0</v>
      </c>
      <c r="Y15" s="5">
        <v>0</v>
      </c>
      <c r="Z15" s="5">
        <v>4958280</v>
      </c>
      <c r="AA15" s="5">
        <v>24561975.100000001</v>
      </c>
      <c r="AB15" s="5">
        <v>24</v>
      </c>
      <c r="AC15" s="5">
        <v>66.652729999999991</v>
      </c>
    </row>
    <row r="16" spans="1:29" x14ac:dyDescent="0.25">
      <c r="B16" s="42">
        <v>6</v>
      </c>
      <c r="C16" s="3" t="s">
        <v>33</v>
      </c>
      <c r="D16" s="4">
        <v>5041</v>
      </c>
      <c r="E16" s="4">
        <v>637</v>
      </c>
      <c r="F16" s="4">
        <v>28892</v>
      </c>
      <c r="G16" s="4">
        <v>17527</v>
      </c>
      <c r="H16" s="4">
        <v>0</v>
      </c>
      <c r="I16" s="4">
        <v>2809972</v>
      </c>
      <c r="J16" s="4">
        <v>265277</v>
      </c>
      <c r="K16" s="4">
        <v>37472332</v>
      </c>
      <c r="L16" s="5">
        <v>159723</v>
      </c>
      <c r="M16" s="5">
        <v>793550.53673000005</v>
      </c>
      <c r="N16" s="5">
        <v>138504</v>
      </c>
      <c r="O16" s="5">
        <v>852694.5862100001</v>
      </c>
      <c r="P16" s="5">
        <v>0</v>
      </c>
      <c r="Q16" s="5">
        <v>0</v>
      </c>
      <c r="R16" s="5">
        <v>3488</v>
      </c>
      <c r="S16" s="5">
        <v>29754.487000000001</v>
      </c>
      <c r="T16" s="5">
        <v>2280425</v>
      </c>
      <c r="U16" s="5">
        <v>5860891.6608100012</v>
      </c>
      <c r="V16" s="5">
        <v>315786</v>
      </c>
      <c r="W16" s="5">
        <v>1013856.074</v>
      </c>
      <c r="X16" s="5">
        <v>159</v>
      </c>
      <c r="Y16" s="5">
        <v>487.19299999999998</v>
      </c>
      <c r="Z16" s="5">
        <v>15985269</v>
      </c>
      <c r="AA16" s="5">
        <v>81740211.32957001</v>
      </c>
      <c r="AB16" s="5">
        <v>1</v>
      </c>
      <c r="AC16" s="5">
        <v>0.7</v>
      </c>
    </row>
    <row r="17" spans="2:29" x14ac:dyDescent="0.25">
      <c r="B17" s="42">
        <v>7</v>
      </c>
      <c r="C17" s="3" t="s">
        <v>34</v>
      </c>
      <c r="D17" s="4">
        <v>2984</v>
      </c>
      <c r="E17" s="4">
        <v>735</v>
      </c>
      <c r="F17" s="4">
        <v>22711</v>
      </c>
      <c r="G17" s="4">
        <v>14067</v>
      </c>
      <c r="H17" s="4">
        <v>0</v>
      </c>
      <c r="I17" s="4">
        <v>603240</v>
      </c>
      <c r="J17" s="4">
        <v>188124</v>
      </c>
      <c r="K17" s="4">
        <v>23110045</v>
      </c>
      <c r="L17" s="5">
        <v>987891</v>
      </c>
      <c r="M17" s="5">
        <v>1478591.60607</v>
      </c>
      <c r="N17" s="5">
        <v>78075</v>
      </c>
      <c r="O17" s="5">
        <v>370084.07191</v>
      </c>
      <c r="P17" s="5">
        <v>0</v>
      </c>
      <c r="Q17" s="5">
        <v>0</v>
      </c>
      <c r="R17" s="5">
        <v>11276</v>
      </c>
      <c r="S17" s="5">
        <v>60454.7</v>
      </c>
      <c r="T17" s="5">
        <v>1913244</v>
      </c>
      <c r="U17" s="5">
        <v>4726930.1243000003</v>
      </c>
      <c r="V17" s="5">
        <v>217220</v>
      </c>
      <c r="W17" s="5">
        <v>783085.68715999997</v>
      </c>
      <c r="X17" s="5">
        <v>0</v>
      </c>
      <c r="Y17" s="5">
        <v>0</v>
      </c>
      <c r="Z17" s="5">
        <v>10876466</v>
      </c>
      <c r="AA17" s="5">
        <v>51125820.560860001</v>
      </c>
      <c r="AB17" s="5">
        <v>0</v>
      </c>
      <c r="AC17" s="5">
        <v>0</v>
      </c>
    </row>
    <row r="18" spans="2:29" x14ac:dyDescent="0.25">
      <c r="B18" s="42">
        <v>8</v>
      </c>
      <c r="C18" s="3" t="s">
        <v>35</v>
      </c>
      <c r="D18" s="4">
        <v>1162</v>
      </c>
      <c r="E18" s="4">
        <v>35</v>
      </c>
      <c r="F18" s="4">
        <v>1372</v>
      </c>
      <c r="G18" s="4">
        <v>2317</v>
      </c>
      <c r="H18" s="4">
        <v>1532</v>
      </c>
      <c r="I18" s="4">
        <v>217642</v>
      </c>
      <c r="J18" s="4">
        <v>0</v>
      </c>
      <c r="K18" s="4">
        <v>4412638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40539</v>
      </c>
      <c r="U18" s="5">
        <v>154854.878</v>
      </c>
      <c r="V18" s="5">
        <v>196773</v>
      </c>
      <c r="W18" s="5">
        <v>480946.99800000002</v>
      </c>
      <c r="X18" s="5">
        <v>0</v>
      </c>
      <c r="Y18" s="5">
        <v>0</v>
      </c>
      <c r="Z18" s="5">
        <v>1229080</v>
      </c>
      <c r="AA18" s="5">
        <v>6164920</v>
      </c>
      <c r="AB18" s="5">
        <v>0</v>
      </c>
      <c r="AC18" s="5">
        <v>0</v>
      </c>
    </row>
    <row r="19" spans="2:29" x14ac:dyDescent="0.25">
      <c r="B19" s="42">
        <v>9</v>
      </c>
      <c r="C19" s="3" t="s">
        <v>36</v>
      </c>
      <c r="D19" s="4">
        <v>7225</v>
      </c>
      <c r="E19" s="4">
        <v>3496</v>
      </c>
      <c r="F19" s="4">
        <v>29287</v>
      </c>
      <c r="G19" s="4">
        <v>0</v>
      </c>
      <c r="H19" s="4">
        <v>134560</v>
      </c>
      <c r="I19" s="4">
        <v>1173471</v>
      </c>
      <c r="J19" s="4">
        <v>1013438</v>
      </c>
      <c r="K19" s="4">
        <v>42581136</v>
      </c>
      <c r="L19" s="5">
        <v>401996</v>
      </c>
      <c r="M19" s="5">
        <v>1859091.3465400001</v>
      </c>
      <c r="N19" s="5">
        <v>4755131</v>
      </c>
      <c r="O19" s="5">
        <v>7033905.7771300003</v>
      </c>
      <c r="P19" s="5">
        <v>2</v>
      </c>
      <c r="Q19" s="5">
        <v>206</v>
      </c>
      <c r="R19" s="5">
        <v>5078</v>
      </c>
      <c r="S19" s="5">
        <v>16703.8</v>
      </c>
      <c r="T19" s="5">
        <v>3154053</v>
      </c>
      <c r="U19" s="5">
        <v>8384312.7341200002</v>
      </c>
      <c r="V19" s="5">
        <v>690567</v>
      </c>
      <c r="W19" s="5">
        <v>2190287.60567</v>
      </c>
      <c r="X19" s="5">
        <v>0</v>
      </c>
      <c r="Y19" s="5">
        <v>0</v>
      </c>
      <c r="Z19" s="5">
        <v>20642776</v>
      </c>
      <c r="AA19" s="5">
        <v>108392343.09999999</v>
      </c>
      <c r="AB19" s="5">
        <v>0</v>
      </c>
      <c r="AC19" s="5">
        <v>0</v>
      </c>
    </row>
    <row r="20" spans="2:29" x14ac:dyDescent="0.25">
      <c r="B20" s="42">
        <v>10</v>
      </c>
      <c r="C20" s="3" t="s">
        <v>37</v>
      </c>
      <c r="D20" s="4">
        <v>28841</v>
      </c>
      <c r="E20" s="4">
        <v>36334</v>
      </c>
      <c r="F20" s="4">
        <v>1759321</v>
      </c>
      <c r="G20" s="4">
        <v>56259</v>
      </c>
      <c r="H20" s="4">
        <v>1039282</v>
      </c>
      <c r="I20" s="4">
        <v>6073743</v>
      </c>
      <c r="J20" s="4">
        <v>22764623</v>
      </c>
      <c r="K20" s="4">
        <v>256886223</v>
      </c>
      <c r="L20" s="5">
        <v>25048719</v>
      </c>
      <c r="M20" s="5">
        <v>132413697.69085994</v>
      </c>
      <c r="N20" s="5">
        <v>84304008</v>
      </c>
      <c r="O20" s="5">
        <v>263503998.55059993</v>
      </c>
      <c r="P20" s="5">
        <v>0</v>
      </c>
      <c r="Q20" s="5">
        <v>0</v>
      </c>
      <c r="R20" s="5">
        <v>116445</v>
      </c>
      <c r="S20" s="5">
        <v>519334.16450999997</v>
      </c>
      <c r="T20" s="5">
        <v>24125994</v>
      </c>
      <c r="U20" s="5">
        <v>65021417.386919998</v>
      </c>
      <c r="V20" s="5">
        <v>6199580</v>
      </c>
      <c r="W20" s="5">
        <v>23352275.27079</v>
      </c>
      <c r="X20" s="5">
        <v>498</v>
      </c>
      <c r="Y20" s="5">
        <v>7210.2431299999998</v>
      </c>
      <c r="Z20" s="5">
        <v>135929803</v>
      </c>
      <c r="AA20" s="5">
        <v>768781000</v>
      </c>
      <c r="AB20" s="5">
        <v>3705</v>
      </c>
      <c r="AC20" s="5">
        <v>2930.08277</v>
      </c>
    </row>
    <row r="21" spans="2:29" x14ac:dyDescent="0.25">
      <c r="B21" s="42">
        <v>11</v>
      </c>
      <c r="C21" s="3" t="s">
        <v>38</v>
      </c>
      <c r="D21" s="4">
        <v>2422</v>
      </c>
      <c r="E21" s="4">
        <v>216</v>
      </c>
      <c r="F21" s="4">
        <v>3253</v>
      </c>
      <c r="G21" s="4">
        <v>3568</v>
      </c>
      <c r="H21" s="4">
        <v>0</v>
      </c>
      <c r="I21" s="4">
        <v>1514114</v>
      </c>
      <c r="J21" s="4">
        <v>0</v>
      </c>
      <c r="K21" s="4">
        <v>14773872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662237</v>
      </c>
      <c r="U21" s="5">
        <v>1776773.0780400001</v>
      </c>
      <c r="V21" s="5">
        <v>192938</v>
      </c>
      <c r="W21" s="5">
        <v>665131.96344000008</v>
      </c>
      <c r="X21" s="5">
        <v>728</v>
      </c>
      <c r="Y21" s="5">
        <v>13009.757089999999</v>
      </c>
      <c r="Z21" s="5">
        <v>5529717</v>
      </c>
      <c r="AA21" s="5">
        <v>27167532.452070002</v>
      </c>
      <c r="AB21" s="5">
        <v>1</v>
      </c>
      <c r="AC21" s="5">
        <v>2</v>
      </c>
    </row>
    <row r="22" spans="2:29" x14ac:dyDescent="0.25">
      <c r="B22" s="42">
        <v>12</v>
      </c>
      <c r="C22" s="3" t="s">
        <v>39</v>
      </c>
      <c r="D22" s="4">
        <v>8009</v>
      </c>
      <c r="E22" s="4">
        <v>751</v>
      </c>
      <c r="F22" s="4">
        <v>39370</v>
      </c>
      <c r="G22" s="4">
        <v>8964</v>
      </c>
      <c r="H22" s="4">
        <v>481493</v>
      </c>
      <c r="I22" s="4">
        <v>296633</v>
      </c>
      <c r="J22" s="4">
        <v>507530</v>
      </c>
      <c r="K22" s="4">
        <v>57806247</v>
      </c>
      <c r="L22" s="5">
        <v>471714</v>
      </c>
      <c r="M22" s="5">
        <v>2274361.09296</v>
      </c>
      <c r="N22" s="5">
        <v>2458797</v>
      </c>
      <c r="O22" s="5">
        <v>3889827.7925500004</v>
      </c>
      <c r="P22" s="5">
        <v>0</v>
      </c>
      <c r="Q22" s="5">
        <v>0</v>
      </c>
      <c r="R22" s="5">
        <v>8384</v>
      </c>
      <c r="S22" s="5">
        <v>42501.929899999996</v>
      </c>
      <c r="T22" s="5">
        <v>3286861</v>
      </c>
      <c r="U22" s="5">
        <v>8153857.9679000024</v>
      </c>
      <c r="V22" s="5">
        <v>712410</v>
      </c>
      <c r="W22" s="5">
        <v>2467059.2560400004</v>
      </c>
      <c r="X22" s="5">
        <v>1842</v>
      </c>
      <c r="Y22" s="5">
        <v>7459.1180000000004</v>
      </c>
      <c r="Z22" s="5">
        <v>37958596</v>
      </c>
      <c r="AA22" s="5">
        <v>115080608.76644</v>
      </c>
      <c r="AB22" s="5">
        <v>5</v>
      </c>
      <c r="AC22" s="5">
        <v>1.8</v>
      </c>
    </row>
    <row r="23" spans="2:29" x14ac:dyDescent="0.25">
      <c r="B23" s="9" t="s">
        <v>40</v>
      </c>
      <c r="C23" s="1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5">
      <c r="B24" s="42">
        <v>13</v>
      </c>
      <c r="C24" s="3" t="s">
        <v>41</v>
      </c>
      <c r="D24" s="4">
        <v>6870</v>
      </c>
      <c r="E24" s="4">
        <v>5678</v>
      </c>
      <c r="F24" s="4">
        <v>2555543</v>
      </c>
      <c r="G24" s="4">
        <v>987</v>
      </c>
      <c r="H24" s="4">
        <v>446652</v>
      </c>
      <c r="I24" s="4">
        <v>129221697</v>
      </c>
      <c r="J24" s="4">
        <v>16261034</v>
      </c>
      <c r="K24" s="4">
        <v>46504058</v>
      </c>
      <c r="L24" s="5">
        <v>54597611</v>
      </c>
      <c r="M24" s="5">
        <v>108927834.15573999</v>
      </c>
      <c r="N24" s="5">
        <v>29510267</v>
      </c>
      <c r="O24" s="5">
        <v>129319547.97026999</v>
      </c>
      <c r="P24" s="5">
        <v>0</v>
      </c>
      <c r="Q24" s="5">
        <v>0</v>
      </c>
      <c r="R24" s="5">
        <v>61383</v>
      </c>
      <c r="S24" s="5">
        <v>352578.9</v>
      </c>
      <c r="T24" s="5">
        <v>3049561</v>
      </c>
      <c r="U24" s="5">
        <v>12706142.294760037</v>
      </c>
      <c r="V24" s="5">
        <v>1811241</v>
      </c>
      <c r="W24" s="5">
        <v>16742949.525530014</v>
      </c>
      <c r="X24" s="5">
        <v>9031</v>
      </c>
      <c r="Y24" s="5">
        <v>240228.549</v>
      </c>
      <c r="Z24" s="5">
        <v>13136643</v>
      </c>
      <c r="AA24" s="5">
        <v>93038577.379999995</v>
      </c>
      <c r="AB24" s="5">
        <v>0</v>
      </c>
      <c r="AC24" s="5">
        <v>0</v>
      </c>
    </row>
    <row r="25" spans="2:29" x14ac:dyDescent="0.25">
      <c r="B25" s="42">
        <v>14</v>
      </c>
      <c r="C25" s="3" t="s">
        <v>42</v>
      </c>
      <c r="D25" s="4">
        <v>431</v>
      </c>
      <c r="E25" s="4">
        <v>7</v>
      </c>
      <c r="F25" s="4">
        <v>75023</v>
      </c>
      <c r="G25" s="4">
        <v>0</v>
      </c>
      <c r="H25" s="4">
        <v>54611</v>
      </c>
      <c r="I25" s="4">
        <v>0</v>
      </c>
      <c r="J25" s="4">
        <v>24993</v>
      </c>
      <c r="K25" s="4">
        <v>6600231</v>
      </c>
      <c r="L25" s="5">
        <v>83395</v>
      </c>
      <c r="M25" s="5">
        <v>119384.81988999879</v>
      </c>
      <c r="N25" s="5">
        <v>8249</v>
      </c>
      <c r="O25" s="5">
        <v>57557.345640000014</v>
      </c>
      <c r="P25" s="5">
        <v>0</v>
      </c>
      <c r="Q25" s="5">
        <v>0</v>
      </c>
      <c r="R25" s="5">
        <v>243</v>
      </c>
      <c r="S25" s="5">
        <v>1300.5999999999999</v>
      </c>
      <c r="T25" s="5">
        <v>151472</v>
      </c>
      <c r="U25" s="5">
        <v>592560.25898999989</v>
      </c>
      <c r="V25" s="5">
        <v>43541</v>
      </c>
      <c r="W25" s="5">
        <v>251060.96882999997</v>
      </c>
      <c r="X25" s="5">
        <v>0</v>
      </c>
      <c r="Y25" s="5">
        <v>0</v>
      </c>
      <c r="Z25" s="5">
        <v>1643022</v>
      </c>
      <c r="AA25" s="5">
        <v>9903764.2890000008</v>
      </c>
      <c r="AB25" s="5">
        <v>0</v>
      </c>
      <c r="AC25" s="5">
        <v>0</v>
      </c>
    </row>
    <row r="26" spans="2:29" x14ac:dyDescent="0.25">
      <c r="B26" s="42">
        <v>15</v>
      </c>
      <c r="C26" s="3" t="s">
        <v>43</v>
      </c>
      <c r="D26" s="4">
        <v>1341</v>
      </c>
      <c r="E26" s="4">
        <v>481</v>
      </c>
      <c r="F26" s="4">
        <v>6339</v>
      </c>
      <c r="G26" s="4">
        <v>25376</v>
      </c>
      <c r="H26" s="4">
        <v>0</v>
      </c>
      <c r="I26" s="4">
        <v>72781</v>
      </c>
      <c r="J26" s="4">
        <v>59731</v>
      </c>
      <c r="K26" s="4">
        <v>3437646</v>
      </c>
      <c r="L26" s="5">
        <v>57792</v>
      </c>
      <c r="M26" s="5">
        <v>326798.3746200006</v>
      </c>
      <c r="N26" s="5">
        <v>38461</v>
      </c>
      <c r="O26" s="5">
        <v>398345.23960999958</v>
      </c>
      <c r="P26" s="5">
        <v>0</v>
      </c>
      <c r="Q26" s="5">
        <v>0</v>
      </c>
      <c r="R26" s="5">
        <v>202</v>
      </c>
      <c r="S26" s="5">
        <v>1150.4000000000001</v>
      </c>
      <c r="T26" s="5">
        <v>352780</v>
      </c>
      <c r="U26" s="5">
        <v>1180758.3637699999</v>
      </c>
      <c r="V26" s="5">
        <v>30712</v>
      </c>
      <c r="W26" s="5">
        <v>107295.6773</v>
      </c>
      <c r="X26" s="5">
        <v>0</v>
      </c>
      <c r="Y26" s="5">
        <v>0</v>
      </c>
      <c r="Z26" s="5">
        <v>1961236</v>
      </c>
      <c r="AA26" s="5">
        <v>12549119.2016</v>
      </c>
      <c r="AB26" s="5">
        <v>0</v>
      </c>
      <c r="AC26" s="5">
        <v>0</v>
      </c>
    </row>
    <row r="27" spans="2:29" x14ac:dyDescent="0.25">
      <c r="B27" s="42">
        <v>16</v>
      </c>
      <c r="C27" s="3" t="s">
        <v>44</v>
      </c>
      <c r="D27" s="4">
        <v>802</v>
      </c>
      <c r="E27" s="4">
        <v>36</v>
      </c>
      <c r="F27" s="4">
        <v>0</v>
      </c>
      <c r="G27" s="4">
        <v>0</v>
      </c>
      <c r="H27" s="4">
        <v>19737</v>
      </c>
      <c r="I27" s="4">
        <v>0</v>
      </c>
      <c r="J27" s="4">
        <v>189594</v>
      </c>
      <c r="K27" s="4">
        <v>935029</v>
      </c>
      <c r="L27" s="5">
        <v>180011</v>
      </c>
      <c r="M27" s="5">
        <v>573648.9267999999</v>
      </c>
      <c r="N27" s="5">
        <v>2024681</v>
      </c>
      <c r="O27" s="5">
        <v>1816716.2174000002</v>
      </c>
      <c r="P27" s="5">
        <v>0</v>
      </c>
      <c r="Q27" s="5">
        <v>0</v>
      </c>
      <c r="R27" s="5">
        <v>0</v>
      </c>
      <c r="S27" s="5">
        <v>0</v>
      </c>
      <c r="T27" s="5">
        <v>95907</v>
      </c>
      <c r="U27" s="5">
        <v>287054.92535999999</v>
      </c>
      <c r="V27" s="5">
        <v>7840</v>
      </c>
      <c r="W27" s="5">
        <v>50866.427579999996</v>
      </c>
      <c r="X27" s="5">
        <v>0</v>
      </c>
      <c r="Y27" s="5">
        <v>0</v>
      </c>
      <c r="Z27" s="5">
        <v>332686</v>
      </c>
      <c r="AA27" s="5">
        <v>1921462.3</v>
      </c>
      <c r="AB27" s="5">
        <v>0</v>
      </c>
      <c r="AC27" s="5">
        <v>0</v>
      </c>
    </row>
    <row r="28" spans="2:29" x14ac:dyDescent="0.25">
      <c r="B28" s="42">
        <v>17</v>
      </c>
      <c r="C28" s="3" t="s">
        <v>45</v>
      </c>
      <c r="D28" s="4">
        <v>444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32682</v>
      </c>
      <c r="K28" s="4">
        <v>1488757</v>
      </c>
      <c r="L28" s="5">
        <v>7726</v>
      </c>
      <c r="M28" s="5">
        <v>21238.790849999976</v>
      </c>
      <c r="N28" s="5">
        <v>18364</v>
      </c>
      <c r="O28" s="5">
        <v>46613.752739999902</v>
      </c>
      <c r="P28" s="5">
        <v>80884</v>
      </c>
      <c r="Q28" s="5">
        <v>32425.735870000153</v>
      </c>
      <c r="R28" s="5">
        <v>136</v>
      </c>
      <c r="S28" s="5">
        <v>529.5</v>
      </c>
      <c r="T28" s="5">
        <v>70309</v>
      </c>
      <c r="U28" s="5">
        <v>245275.40131000002</v>
      </c>
      <c r="V28" s="5">
        <v>64480</v>
      </c>
      <c r="W28" s="5">
        <v>273504.13780999999</v>
      </c>
      <c r="X28" s="5">
        <v>177</v>
      </c>
      <c r="Y28" s="5">
        <v>5570.415</v>
      </c>
      <c r="Z28" s="5">
        <v>227420</v>
      </c>
      <c r="AA28" s="5">
        <v>1637718.51</v>
      </c>
      <c r="AB28" s="5">
        <v>0</v>
      </c>
      <c r="AC28" s="5">
        <v>0</v>
      </c>
    </row>
    <row r="29" spans="2:29" x14ac:dyDescent="0.25">
      <c r="B29" s="42">
        <v>18</v>
      </c>
      <c r="C29" s="3" t="s">
        <v>46</v>
      </c>
      <c r="D29" s="4">
        <v>246</v>
      </c>
      <c r="E29" s="4">
        <v>37</v>
      </c>
      <c r="F29" s="4">
        <v>1697</v>
      </c>
      <c r="G29" s="4">
        <v>0</v>
      </c>
      <c r="H29" s="4">
        <v>0</v>
      </c>
      <c r="I29" s="4">
        <v>20225</v>
      </c>
      <c r="J29" s="4">
        <v>12354</v>
      </c>
      <c r="K29" s="4">
        <v>641096</v>
      </c>
      <c r="L29" s="5">
        <v>20742</v>
      </c>
      <c r="M29" s="5">
        <v>52139.534159999996</v>
      </c>
      <c r="N29" s="5">
        <v>6770</v>
      </c>
      <c r="O29" s="5">
        <v>27740.760420000002</v>
      </c>
      <c r="P29" s="5">
        <v>0</v>
      </c>
      <c r="Q29" s="5">
        <v>0</v>
      </c>
      <c r="R29" s="5">
        <v>239</v>
      </c>
      <c r="S29" s="5">
        <v>874.5</v>
      </c>
      <c r="T29" s="5">
        <v>104781</v>
      </c>
      <c r="U29" s="5">
        <v>232162.33753999989</v>
      </c>
      <c r="V29" s="5">
        <v>3303</v>
      </c>
      <c r="W29" s="5">
        <v>12097.740889999999</v>
      </c>
      <c r="X29" s="5">
        <v>0</v>
      </c>
      <c r="Y29" s="5">
        <v>0</v>
      </c>
      <c r="Z29" s="5">
        <v>365775</v>
      </c>
      <c r="AA29" s="5">
        <v>1701518.0676300002</v>
      </c>
      <c r="AB29" s="5">
        <v>0</v>
      </c>
      <c r="AC29" s="5">
        <v>0</v>
      </c>
    </row>
    <row r="30" spans="2:29" x14ac:dyDescent="0.25">
      <c r="B30" s="42">
        <v>19</v>
      </c>
      <c r="C30" s="3" t="s">
        <v>47</v>
      </c>
      <c r="D30" s="4">
        <v>1852</v>
      </c>
      <c r="E30" s="4">
        <v>287</v>
      </c>
      <c r="F30" s="4">
        <v>27720</v>
      </c>
      <c r="G30" s="4">
        <v>3261</v>
      </c>
      <c r="H30" s="4">
        <v>0</v>
      </c>
      <c r="I30" s="4">
        <v>6446753</v>
      </c>
      <c r="J30" s="4">
        <v>2642312</v>
      </c>
      <c r="K30" s="4">
        <v>14233686</v>
      </c>
      <c r="L30" s="5">
        <v>4334254</v>
      </c>
      <c r="M30" s="5">
        <v>11417203.571679998</v>
      </c>
      <c r="N30" s="5">
        <v>7758155</v>
      </c>
      <c r="O30" s="5">
        <v>17054272.327859998</v>
      </c>
      <c r="P30" s="5">
        <v>0</v>
      </c>
      <c r="Q30" s="5">
        <v>0</v>
      </c>
      <c r="R30" s="5">
        <v>6361</v>
      </c>
      <c r="S30" s="5">
        <v>31886.42813</v>
      </c>
      <c r="T30" s="5">
        <v>2235584</v>
      </c>
      <c r="U30" s="5">
        <v>7581997.4690500004</v>
      </c>
      <c r="V30" s="5">
        <v>991003</v>
      </c>
      <c r="W30" s="5">
        <v>4789893.7893999992</v>
      </c>
      <c r="X30" s="5">
        <v>3385</v>
      </c>
      <c r="Y30" s="5">
        <v>52098.566079999997</v>
      </c>
      <c r="Z30" s="5">
        <v>6308326</v>
      </c>
      <c r="AA30" s="5">
        <v>36254387.108999997</v>
      </c>
      <c r="AB30" s="5">
        <v>0</v>
      </c>
      <c r="AC30" s="5">
        <v>0</v>
      </c>
    </row>
    <row r="31" spans="2:29" x14ac:dyDescent="0.25">
      <c r="B31" s="42">
        <v>20</v>
      </c>
      <c r="C31" s="3" t="s">
        <v>48</v>
      </c>
      <c r="D31" s="4">
        <v>13115</v>
      </c>
      <c r="E31" s="4">
        <v>7805</v>
      </c>
      <c r="F31" s="4">
        <v>1938771</v>
      </c>
      <c r="G31" s="4">
        <v>1518</v>
      </c>
      <c r="H31" s="4">
        <v>2281351</v>
      </c>
      <c r="I31" s="4">
        <v>1222676</v>
      </c>
      <c r="J31" s="4">
        <v>26976915</v>
      </c>
      <c r="K31" s="4">
        <v>64316274</v>
      </c>
      <c r="L31" s="5">
        <v>106592989</v>
      </c>
      <c r="M31" s="5">
        <v>207731979.39895001</v>
      </c>
      <c r="N31" s="5">
        <v>43655003</v>
      </c>
      <c r="O31" s="5">
        <v>394443381.71672004</v>
      </c>
      <c r="P31" s="5">
        <v>0</v>
      </c>
      <c r="Q31" s="5">
        <v>0</v>
      </c>
      <c r="R31" s="5">
        <v>157711</v>
      </c>
      <c r="S31" s="5">
        <v>1084421.90331</v>
      </c>
      <c r="T31" s="5">
        <v>6677913</v>
      </c>
      <c r="U31" s="5">
        <v>31164580.491799995</v>
      </c>
      <c r="V31" s="5">
        <v>6008295</v>
      </c>
      <c r="W31" s="5">
        <v>42398263.758870006</v>
      </c>
      <c r="X31" s="5">
        <v>50233</v>
      </c>
      <c r="Y31" s="5">
        <v>1795486.2845500002</v>
      </c>
      <c r="Z31" s="5">
        <v>26248632</v>
      </c>
      <c r="AA31" s="5">
        <v>194524689.53600001</v>
      </c>
      <c r="AB31" s="5">
        <v>6</v>
      </c>
      <c r="AC31" s="5">
        <v>6.5</v>
      </c>
    </row>
    <row r="32" spans="2:29" x14ac:dyDescent="0.25">
      <c r="B32" s="42">
        <v>21</v>
      </c>
      <c r="C32" s="3" t="s">
        <v>49</v>
      </c>
      <c r="D32" s="4">
        <v>9705</v>
      </c>
      <c r="E32" s="4">
        <v>2437</v>
      </c>
      <c r="F32" s="4">
        <v>171844</v>
      </c>
      <c r="G32" s="4">
        <v>7682</v>
      </c>
      <c r="H32" s="4">
        <v>0</v>
      </c>
      <c r="I32" s="4">
        <v>3872928</v>
      </c>
      <c r="J32" s="4">
        <v>19692767</v>
      </c>
      <c r="K32" s="4">
        <v>31989959</v>
      </c>
      <c r="L32" s="5">
        <v>16330915</v>
      </c>
      <c r="M32" s="5">
        <v>90775662.916739732</v>
      </c>
      <c r="N32" s="5">
        <v>83211487</v>
      </c>
      <c r="O32" s="5">
        <v>249477133.86785784</v>
      </c>
      <c r="P32" s="5">
        <v>77</v>
      </c>
      <c r="Q32" s="5">
        <v>7698.9</v>
      </c>
      <c r="R32" s="5">
        <v>42452</v>
      </c>
      <c r="S32" s="5">
        <v>220853.66</v>
      </c>
      <c r="T32" s="5">
        <v>3732885</v>
      </c>
      <c r="U32" s="5">
        <v>20126348.609529819</v>
      </c>
      <c r="V32" s="5">
        <v>3189656</v>
      </c>
      <c r="W32" s="5">
        <v>28526443.673879817</v>
      </c>
      <c r="X32" s="5">
        <v>2448</v>
      </c>
      <c r="Y32" s="5">
        <v>57086.006999999998</v>
      </c>
      <c r="Z32" s="5">
        <v>10017717</v>
      </c>
      <c r="AA32" s="5">
        <v>86775086.055000007</v>
      </c>
      <c r="AB32" s="5">
        <v>0</v>
      </c>
      <c r="AC32" s="5">
        <v>0</v>
      </c>
    </row>
    <row r="33" spans="2:29" x14ac:dyDescent="0.25">
      <c r="B33" s="42">
        <v>22</v>
      </c>
      <c r="C33" s="3" t="s">
        <v>50</v>
      </c>
      <c r="D33" s="4">
        <v>2489</v>
      </c>
      <c r="E33" s="4">
        <v>576</v>
      </c>
      <c r="F33" s="4">
        <v>12930</v>
      </c>
      <c r="G33" s="4">
        <v>2818</v>
      </c>
      <c r="H33" s="4">
        <v>0</v>
      </c>
      <c r="I33" s="4">
        <v>667394</v>
      </c>
      <c r="J33" s="4">
        <v>51004</v>
      </c>
      <c r="K33" s="4">
        <v>11306835</v>
      </c>
      <c r="L33" s="5">
        <v>75284</v>
      </c>
      <c r="M33" s="5">
        <v>369526.47164</v>
      </c>
      <c r="N33" s="5">
        <v>90982</v>
      </c>
      <c r="O33" s="5">
        <v>363837.42206999997</v>
      </c>
      <c r="P33" s="5">
        <v>0</v>
      </c>
      <c r="Q33" s="5">
        <v>0</v>
      </c>
      <c r="R33" s="5">
        <v>458</v>
      </c>
      <c r="S33" s="5">
        <v>2683.8</v>
      </c>
      <c r="T33" s="5">
        <v>761535</v>
      </c>
      <c r="U33" s="5">
        <v>2024626.0295399886</v>
      </c>
      <c r="V33" s="5">
        <v>137147</v>
      </c>
      <c r="W33" s="5">
        <v>520084.81069000054</v>
      </c>
      <c r="X33" s="5">
        <v>0</v>
      </c>
      <c r="Y33" s="5">
        <v>0</v>
      </c>
      <c r="Z33" s="5">
        <v>3751457</v>
      </c>
      <c r="AA33" s="5">
        <v>20575341.989999998</v>
      </c>
      <c r="AB33" s="5">
        <v>155</v>
      </c>
      <c r="AC33" s="5">
        <v>69.259049999999988</v>
      </c>
    </row>
    <row r="34" spans="2:29" x14ac:dyDescent="0.25">
      <c r="B34" s="42">
        <v>23</v>
      </c>
      <c r="C34" s="3" t="s">
        <v>51</v>
      </c>
      <c r="D34" s="4">
        <v>962</v>
      </c>
      <c r="E34" s="4">
        <v>180</v>
      </c>
      <c r="F34" s="4">
        <v>26969</v>
      </c>
      <c r="G34" s="4">
        <v>6410</v>
      </c>
      <c r="H34" s="4">
        <v>0</v>
      </c>
      <c r="I34" s="4">
        <v>282499</v>
      </c>
      <c r="J34" s="4">
        <v>4891825</v>
      </c>
      <c r="K34" s="4">
        <v>7000530</v>
      </c>
      <c r="L34" s="5">
        <v>18064823</v>
      </c>
      <c r="M34" s="5">
        <v>29452340.214000002</v>
      </c>
      <c r="N34" s="5">
        <v>3227599</v>
      </c>
      <c r="O34" s="5">
        <v>20103645.127999999</v>
      </c>
      <c r="P34" s="5">
        <v>0</v>
      </c>
      <c r="Q34" s="5">
        <v>0</v>
      </c>
      <c r="R34" s="5">
        <v>23964</v>
      </c>
      <c r="S34" s="5">
        <v>132339.70000000001</v>
      </c>
      <c r="T34" s="5">
        <v>503772</v>
      </c>
      <c r="U34" s="5">
        <v>2008033.5957899999</v>
      </c>
      <c r="V34" s="5">
        <v>367260</v>
      </c>
      <c r="W34" s="5">
        <v>3057090.7509400002</v>
      </c>
      <c r="X34" s="5">
        <v>0</v>
      </c>
      <c r="Y34" s="5">
        <v>0</v>
      </c>
      <c r="Z34" s="5">
        <v>2568717</v>
      </c>
      <c r="AA34" s="5">
        <v>15993601.302999999</v>
      </c>
      <c r="AB34" s="5">
        <v>0</v>
      </c>
      <c r="AC34" s="5">
        <v>0</v>
      </c>
    </row>
    <row r="35" spans="2:29" x14ac:dyDescent="0.25">
      <c r="B35" s="42">
        <v>24</v>
      </c>
      <c r="C35" s="3" t="s">
        <v>52</v>
      </c>
      <c r="D35" s="4">
        <v>2148</v>
      </c>
      <c r="E35" s="4">
        <v>706</v>
      </c>
      <c r="F35" s="4">
        <v>92184</v>
      </c>
      <c r="G35" s="4">
        <v>0</v>
      </c>
      <c r="H35" s="4">
        <v>12122</v>
      </c>
      <c r="I35" s="4">
        <v>7165540</v>
      </c>
      <c r="J35" s="4">
        <v>2972558</v>
      </c>
      <c r="K35" s="4">
        <v>12234170</v>
      </c>
      <c r="L35" s="5">
        <v>2395975</v>
      </c>
      <c r="M35" s="5">
        <v>16624842.602</v>
      </c>
      <c r="N35" s="5">
        <v>10442748</v>
      </c>
      <c r="O35" s="5">
        <v>31572934.346999999</v>
      </c>
      <c r="P35" s="5">
        <v>0</v>
      </c>
      <c r="Q35" s="5">
        <v>0</v>
      </c>
      <c r="R35" s="5">
        <v>14473</v>
      </c>
      <c r="S35" s="5">
        <v>79424.585999999996</v>
      </c>
      <c r="T35" s="5">
        <v>444672</v>
      </c>
      <c r="U35" s="5">
        <v>1587026.2016500002</v>
      </c>
      <c r="V35" s="5">
        <v>437287</v>
      </c>
      <c r="W35" s="5">
        <v>2333195.0708600003</v>
      </c>
      <c r="X35" s="5">
        <v>810</v>
      </c>
      <c r="Y35" s="5">
        <v>67229.554999999993</v>
      </c>
      <c r="Z35" s="5">
        <v>4650386</v>
      </c>
      <c r="AA35" s="5">
        <v>16277784.580940001</v>
      </c>
      <c r="AB35" s="5">
        <v>0</v>
      </c>
      <c r="AC35" s="5">
        <v>0</v>
      </c>
    </row>
    <row r="36" spans="2:29" x14ac:dyDescent="0.25">
      <c r="B36" s="42">
        <v>25</v>
      </c>
      <c r="C36" s="3" t="s">
        <v>53</v>
      </c>
      <c r="D36" s="4">
        <v>977</v>
      </c>
      <c r="E36" s="4">
        <v>644</v>
      </c>
      <c r="F36" s="4">
        <v>14171</v>
      </c>
      <c r="G36" s="4">
        <v>1437</v>
      </c>
      <c r="H36" s="4">
        <v>0</v>
      </c>
      <c r="I36" s="4">
        <v>683355</v>
      </c>
      <c r="J36" s="4">
        <v>186686</v>
      </c>
      <c r="K36" s="4">
        <v>5330219</v>
      </c>
      <c r="L36" s="5">
        <v>482741</v>
      </c>
      <c r="M36" s="5">
        <v>1966885.46854</v>
      </c>
      <c r="N36" s="5">
        <v>85027</v>
      </c>
      <c r="O36" s="5">
        <v>392602.80379999999</v>
      </c>
      <c r="P36" s="5">
        <v>0</v>
      </c>
      <c r="Q36" s="5">
        <v>0</v>
      </c>
      <c r="R36" s="5">
        <v>9715</v>
      </c>
      <c r="S36" s="5">
        <v>43209.481549999997</v>
      </c>
      <c r="T36" s="5">
        <v>545020</v>
      </c>
      <c r="U36" s="5">
        <v>1343331.8570399999</v>
      </c>
      <c r="V36" s="5">
        <v>346126</v>
      </c>
      <c r="W36" s="5">
        <v>451580.62064000004</v>
      </c>
      <c r="X36" s="5">
        <v>0</v>
      </c>
      <c r="Y36" s="5">
        <v>0</v>
      </c>
      <c r="Z36" s="5">
        <v>4321568</v>
      </c>
      <c r="AA36" s="5">
        <v>23684399.333000001</v>
      </c>
      <c r="AB36" s="5">
        <v>0</v>
      </c>
      <c r="AC36" s="5">
        <v>0</v>
      </c>
    </row>
    <row r="37" spans="2:29" x14ac:dyDescent="0.25">
      <c r="B37" s="42">
        <v>26</v>
      </c>
      <c r="C37" s="3" t="s">
        <v>54</v>
      </c>
      <c r="D37" s="4">
        <v>977</v>
      </c>
      <c r="E37" s="4">
        <v>492</v>
      </c>
      <c r="F37" s="4">
        <v>9197</v>
      </c>
      <c r="G37" s="4">
        <v>0</v>
      </c>
      <c r="H37" s="4">
        <v>0</v>
      </c>
      <c r="I37" s="4">
        <v>150613</v>
      </c>
      <c r="J37" s="4">
        <v>0</v>
      </c>
      <c r="K37" s="4">
        <v>5554786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540094</v>
      </c>
      <c r="U37" s="5">
        <v>1158004.5009999999</v>
      </c>
      <c r="V37" s="5">
        <v>53304</v>
      </c>
      <c r="W37" s="5">
        <v>173405.29199999999</v>
      </c>
      <c r="X37" s="5">
        <v>0</v>
      </c>
      <c r="Y37" s="5">
        <v>0</v>
      </c>
      <c r="Z37" s="5">
        <v>3121524</v>
      </c>
      <c r="AA37" s="5">
        <v>15711994.02</v>
      </c>
      <c r="AB37" s="5">
        <v>0</v>
      </c>
      <c r="AC37" s="5">
        <v>0</v>
      </c>
    </row>
    <row r="38" spans="2:29" x14ac:dyDescent="0.25">
      <c r="B38" s="42">
        <v>27</v>
      </c>
      <c r="C38" s="3" t="s">
        <v>55</v>
      </c>
      <c r="D38" s="4">
        <v>1593</v>
      </c>
      <c r="E38" s="4">
        <v>582</v>
      </c>
      <c r="F38" s="4">
        <v>5430</v>
      </c>
      <c r="G38" s="4">
        <v>162</v>
      </c>
      <c r="H38" s="4">
        <v>47249</v>
      </c>
      <c r="I38" s="4">
        <v>7085</v>
      </c>
      <c r="J38" s="4">
        <v>8879</v>
      </c>
      <c r="K38" s="4">
        <v>5128768</v>
      </c>
      <c r="L38" s="5">
        <v>20095</v>
      </c>
      <c r="M38" s="5">
        <v>141859.74021000002</v>
      </c>
      <c r="N38" s="5">
        <v>8308</v>
      </c>
      <c r="O38" s="5">
        <v>115427.7475</v>
      </c>
      <c r="P38" s="5">
        <v>0</v>
      </c>
      <c r="Q38" s="5">
        <v>0</v>
      </c>
      <c r="R38" s="5">
        <v>366</v>
      </c>
      <c r="S38" s="5">
        <v>2899</v>
      </c>
      <c r="T38" s="5">
        <v>640518</v>
      </c>
      <c r="U38" s="5">
        <v>1831224.9209899979</v>
      </c>
      <c r="V38" s="5">
        <v>79784</v>
      </c>
      <c r="W38" s="5">
        <v>435120.39034999971</v>
      </c>
      <c r="X38" s="5">
        <v>0</v>
      </c>
      <c r="Y38" s="5">
        <v>0</v>
      </c>
      <c r="Z38" s="5">
        <v>3176674</v>
      </c>
      <c r="AA38" s="5">
        <v>17420073.618270002</v>
      </c>
      <c r="AB38" s="5">
        <v>0</v>
      </c>
      <c r="AC38" s="5">
        <v>0</v>
      </c>
    </row>
    <row r="39" spans="2:29" x14ac:dyDescent="0.25">
      <c r="B39" s="42">
        <v>28</v>
      </c>
      <c r="C39" s="3" t="s">
        <v>56</v>
      </c>
      <c r="D39" s="4">
        <v>2088</v>
      </c>
      <c r="E39" s="4">
        <v>650</v>
      </c>
      <c r="F39" s="4">
        <v>75174</v>
      </c>
      <c r="G39" s="4">
        <v>0</v>
      </c>
      <c r="H39" s="4">
        <v>187259</v>
      </c>
      <c r="I39" s="4">
        <v>745574</v>
      </c>
      <c r="J39" s="4">
        <v>4847682</v>
      </c>
      <c r="K39" s="4">
        <v>37328628</v>
      </c>
      <c r="L39" s="5">
        <v>18103207</v>
      </c>
      <c r="M39" s="5">
        <v>32356606.474669997</v>
      </c>
      <c r="N39" s="5">
        <v>4466580</v>
      </c>
      <c r="O39" s="5">
        <v>35407479.306050003</v>
      </c>
      <c r="P39" s="5">
        <v>0</v>
      </c>
      <c r="Q39" s="5">
        <v>0</v>
      </c>
      <c r="R39" s="5">
        <v>30354</v>
      </c>
      <c r="S39" s="5">
        <v>172893.98746999999</v>
      </c>
      <c r="T39" s="5">
        <v>1868609</v>
      </c>
      <c r="U39" s="5">
        <v>5073512.9510000004</v>
      </c>
      <c r="V39" s="5">
        <v>2570834</v>
      </c>
      <c r="W39" s="5">
        <v>9191441.2510000002</v>
      </c>
      <c r="X39" s="5">
        <v>0</v>
      </c>
      <c r="Y39" s="5">
        <v>0</v>
      </c>
      <c r="Z39" s="5">
        <v>7851370</v>
      </c>
      <c r="AA39" s="5">
        <v>46302089.291729994</v>
      </c>
      <c r="AB39" s="5">
        <v>0</v>
      </c>
      <c r="AC39" s="5">
        <v>0</v>
      </c>
    </row>
    <row r="40" spans="2:29" x14ac:dyDescent="0.25">
      <c r="B40" s="42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1617</v>
      </c>
      <c r="J40" s="4">
        <v>0</v>
      </c>
      <c r="K40" s="4">
        <v>164433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10162</v>
      </c>
      <c r="U40" s="5">
        <v>20950.760989999992</v>
      </c>
      <c r="V40" s="5">
        <v>3419</v>
      </c>
      <c r="W40" s="5">
        <v>10247.559579999999</v>
      </c>
      <c r="X40" s="5">
        <v>0</v>
      </c>
      <c r="Y40" s="5">
        <v>0</v>
      </c>
      <c r="Z40" s="5">
        <v>56543</v>
      </c>
      <c r="AA40" s="5">
        <v>301425.18</v>
      </c>
      <c r="AB40" s="5">
        <v>0</v>
      </c>
      <c r="AC40" s="5">
        <v>0</v>
      </c>
    </row>
    <row r="41" spans="2:29" x14ac:dyDescent="0.25">
      <c r="B41" s="42">
        <v>30</v>
      </c>
      <c r="C41" s="3" t="s">
        <v>58</v>
      </c>
      <c r="D41" s="4">
        <v>389</v>
      </c>
      <c r="E41" s="4">
        <v>26</v>
      </c>
      <c r="F41" s="4">
        <v>2719611</v>
      </c>
      <c r="G41" s="4">
        <v>0</v>
      </c>
      <c r="H41" s="4">
        <v>1595</v>
      </c>
      <c r="I41" s="4">
        <v>50416</v>
      </c>
      <c r="J41" s="4">
        <v>4675383</v>
      </c>
      <c r="K41" s="4">
        <v>1612589</v>
      </c>
      <c r="L41" s="5">
        <v>4235474</v>
      </c>
      <c r="M41" s="5">
        <v>26517109.578729998</v>
      </c>
      <c r="N41" s="5">
        <v>7482145</v>
      </c>
      <c r="O41" s="5">
        <v>46938286.808150001</v>
      </c>
      <c r="P41" s="5">
        <v>0</v>
      </c>
      <c r="Q41" s="5">
        <v>0</v>
      </c>
      <c r="R41" s="5">
        <v>29813</v>
      </c>
      <c r="S41" s="5">
        <v>160664.61103999999</v>
      </c>
      <c r="T41" s="5">
        <v>93304</v>
      </c>
      <c r="U41" s="5">
        <v>342917.3296</v>
      </c>
      <c r="V41" s="5">
        <v>62801</v>
      </c>
      <c r="W41" s="5">
        <v>432153.32077000005</v>
      </c>
      <c r="X41" s="5">
        <v>31</v>
      </c>
      <c r="Y41" s="5">
        <v>2729.06</v>
      </c>
      <c r="Z41" s="5">
        <v>308385</v>
      </c>
      <c r="AA41" s="5">
        <v>1802175.4156300002</v>
      </c>
      <c r="AB41" s="5">
        <v>0</v>
      </c>
      <c r="AC41" s="5">
        <v>0</v>
      </c>
    </row>
    <row r="42" spans="2:29" x14ac:dyDescent="0.25">
      <c r="B42" s="42">
        <v>31</v>
      </c>
      <c r="C42" s="3" t="s">
        <v>59</v>
      </c>
      <c r="D42" s="4">
        <v>918</v>
      </c>
      <c r="E42" s="4">
        <v>357</v>
      </c>
      <c r="F42" s="4">
        <v>14226</v>
      </c>
      <c r="G42" s="4">
        <v>0</v>
      </c>
      <c r="H42" s="4">
        <v>31585</v>
      </c>
      <c r="I42" s="4">
        <v>121750</v>
      </c>
      <c r="J42" s="4">
        <v>331462</v>
      </c>
      <c r="K42" s="4">
        <v>4220092</v>
      </c>
      <c r="L42" s="5">
        <v>410174</v>
      </c>
      <c r="M42" s="5">
        <v>1967322.4636900001</v>
      </c>
      <c r="N42" s="5">
        <v>589873</v>
      </c>
      <c r="O42" s="5">
        <v>2790692.1975100003</v>
      </c>
      <c r="P42" s="5">
        <v>0</v>
      </c>
      <c r="Q42" s="5">
        <v>0</v>
      </c>
      <c r="R42" s="5">
        <v>0</v>
      </c>
      <c r="S42" s="5">
        <v>0</v>
      </c>
      <c r="T42" s="5">
        <v>773001</v>
      </c>
      <c r="U42" s="5">
        <v>2517400.7883699997</v>
      </c>
      <c r="V42" s="5">
        <v>154559</v>
      </c>
      <c r="W42" s="5">
        <v>1011088.38638</v>
      </c>
      <c r="X42" s="5">
        <v>0</v>
      </c>
      <c r="Y42" s="5">
        <v>0</v>
      </c>
      <c r="Z42" s="5">
        <v>2272553</v>
      </c>
      <c r="AA42" s="5">
        <v>12448712.164000001</v>
      </c>
      <c r="AB42" s="5">
        <v>0</v>
      </c>
      <c r="AC42" s="5">
        <v>0</v>
      </c>
    </row>
    <row r="43" spans="2:29" x14ac:dyDescent="0.25">
      <c r="B43" s="42">
        <v>32</v>
      </c>
      <c r="C43" s="3" t="s">
        <v>60</v>
      </c>
      <c r="D43" s="4">
        <v>500</v>
      </c>
      <c r="E43" s="4">
        <v>640</v>
      </c>
      <c r="F43" s="4">
        <v>611</v>
      </c>
      <c r="G43" s="4">
        <v>0</v>
      </c>
      <c r="H43" s="4">
        <v>0</v>
      </c>
      <c r="I43" s="4">
        <v>208452</v>
      </c>
      <c r="J43" s="4">
        <v>17968</v>
      </c>
      <c r="K43" s="4">
        <v>2691937</v>
      </c>
      <c r="L43" s="5">
        <v>37204</v>
      </c>
      <c r="M43" s="5">
        <v>176892.46080999999</v>
      </c>
      <c r="N43" s="5">
        <v>13753</v>
      </c>
      <c r="O43" s="5">
        <v>89805.080460000012</v>
      </c>
      <c r="P43" s="5">
        <v>0</v>
      </c>
      <c r="Q43" s="5">
        <v>0</v>
      </c>
      <c r="R43" s="5">
        <v>1766</v>
      </c>
      <c r="S43" s="5">
        <v>7358.5908899999995</v>
      </c>
      <c r="T43" s="5">
        <v>250688</v>
      </c>
      <c r="U43" s="5">
        <v>1037662.9610499999</v>
      </c>
      <c r="V43" s="5">
        <v>24554</v>
      </c>
      <c r="W43" s="5">
        <v>204332.33659999998</v>
      </c>
      <c r="X43" s="5">
        <v>69</v>
      </c>
      <c r="Y43" s="5">
        <v>208.87200000000001</v>
      </c>
      <c r="Z43" s="5">
        <v>3638839</v>
      </c>
      <c r="AA43" s="5">
        <v>20562250.600000001</v>
      </c>
      <c r="AB43" s="5">
        <v>0</v>
      </c>
      <c r="AC43" s="5">
        <v>0</v>
      </c>
    </row>
    <row r="44" spans="2:29" x14ac:dyDescent="0.25">
      <c r="B44" s="42">
        <v>33</v>
      </c>
      <c r="C44" s="3" t="s">
        <v>61</v>
      </c>
      <c r="D44" s="4">
        <v>1258</v>
      </c>
      <c r="E44" s="4">
        <v>113</v>
      </c>
      <c r="F44" s="4">
        <v>198242</v>
      </c>
      <c r="G44" s="4">
        <v>71438</v>
      </c>
      <c r="H44" s="4">
        <v>107892</v>
      </c>
      <c r="I44" s="4">
        <v>620983197</v>
      </c>
      <c r="J44" s="4">
        <v>3038937</v>
      </c>
      <c r="K44" s="4">
        <v>5260309</v>
      </c>
      <c r="L44" s="5">
        <v>16993742</v>
      </c>
      <c r="M44" s="5">
        <v>27952977.407090001</v>
      </c>
      <c r="N44" s="5">
        <v>1972739</v>
      </c>
      <c r="O44" s="5">
        <v>14057536.99602</v>
      </c>
      <c r="P44" s="5">
        <v>0</v>
      </c>
      <c r="Q44" s="5">
        <v>0</v>
      </c>
      <c r="R44" s="5">
        <v>8176</v>
      </c>
      <c r="S44" s="5">
        <v>45031.4</v>
      </c>
      <c r="T44" s="5">
        <v>374772</v>
      </c>
      <c r="U44" s="5">
        <v>1566951.2345499974</v>
      </c>
      <c r="V44" s="5">
        <v>83740</v>
      </c>
      <c r="W44" s="5">
        <v>615433.38076999597</v>
      </c>
      <c r="X44" s="5">
        <v>20</v>
      </c>
      <c r="Y44" s="5">
        <v>222.69399999999999</v>
      </c>
      <c r="Z44" s="5">
        <v>1401891</v>
      </c>
      <c r="AA44" s="5">
        <v>9296035.3660000004</v>
      </c>
      <c r="AB44" s="5">
        <v>0</v>
      </c>
      <c r="AC44" s="5">
        <v>0</v>
      </c>
    </row>
    <row r="45" spans="2:29" x14ac:dyDescent="0.25">
      <c r="B45" s="9" t="s">
        <v>62</v>
      </c>
      <c r="C45" s="1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5">
      <c r="B46" s="42">
        <v>34</v>
      </c>
      <c r="C46" s="3" t="s">
        <v>63</v>
      </c>
      <c r="D46" s="4">
        <v>0</v>
      </c>
      <c r="E46" s="4">
        <v>0</v>
      </c>
      <c r="F46" s="4">
        <v>11196</v>
      </c>
      <c r="G46" s="4">
        <v>0</v>
      </c>
      <c r="H46" s="4">
        <v>0</v>
      </c>
      <c r="I46" s="4">
        <v>0</v>
      </c>
      <c r="J46" s="4">
        <v>1305099</v>
      </c>
      <c r="K46" s="4">
        <v>0</v>
      </c>
      <c r="L46" s="5">
        <v>1695912</v>
      </c>
      <c r="M46" s="5">
        <v>16662705.163000001</v>
      </c>
      <c r="N46" s="5">
        <v>4461858</v>
      </c>
      <c r="O46" s="5">
        <v>44812849.534000002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42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5">
      <c r="B48" s="42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1463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504</v>
      </c>
      <c r="U48" s="5">
        <v>2007.0719999999999</v>
      </c>
      <c r="V48" s="5">
        <v>1021</v>
      </c>
      <c r="W48" s="5">
        <v>4457.3885099999998</v>
      </c>
      <c r="X48" s="5">
        <v>0</v>
      </c>
      <c r="Y48" s="5">
        <v>0</v>
      </c>
      <c r="Z48" s="5">
        <v>962</v>
      </c>
      <c r="AA48" s="5">
        <v>4664.6000000000004</v>
      </c>
      <c r="AB48" s="5">
        <v>0</v>
      </c>
      <c r="AC48" s="5">
        <v>0</v>
      </c>
    </row>
    <row r="49" spans="1:29" x14ac:dyDescent="0.25">
      <c r="B49" s="42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430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69</v>
      </c>
      <c r="U49" s="5">
        <v>125.04358999999999</v>
      </c>
      <c r="V49" s="5">
        <v>0</v>
      </c>
      <c r="W49" s="5">
        <v>0</v>
      </c>
      <c r="X49" s="5">
        <v>0</v>
      </c>
      <c r="Y49" s="5">
        <v>0</v>
      </c>
      <c r="Z49" s="5">
        <v>591</v>
      </c>
      <c r="AA49" s="5">
        <v>5545.9</v>
      </c>
      <c r="AB49" s="5">
        <v>0</v>
      </c>
      <c r="AC49" s="5">
        <v>0</v>
      </c>
    </row>
    <row r="50" spans="1:29" x14ac:dyDescent="0.25">
      <c r="B50" s="42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279530</v>
      </c>
      <c r="K50" s="4">
        <v>0</v>
      </c>
      <c r="L50" s="5">
        <v>176484</v>
      </c>
      <c r="M50" s="5">
        <v>1230540.9152500264</v>
      </c>
      <c r="N50" s="5">
        <v>367589</v>
      </c>
      <c r="O50" s="5">
        <v>4342934.5232300414</v>
      </c>
      <c r="P50" s="5">
        <v>0</v>
      </c>
      <c r="Q50" s="5">
        <v>0</v>
      </c>
      <c r="R50" s="5">
        <v>437</v>
      </c>
      <c r="S50" s="5">
        <v>3810.8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B51" s="42">
        <v>39</v>
      </c>
      <c r="C51" s="3" t="s">
        <v>68</v>
      </c>
      <c r="D51" s="4">
        <v>414</v>
      </c>
      <c r="E51" s="4">
        <v>305</v>
      </c>
      <c r="F51" s="4">
        <v>659</v>
      </c>
      <c r="G51" s="4">
        <v>83</v>
      </c>
      <c r="H51" s="4">
        <v>0</v>
      </c>
      <c r="I51" s="4">
        <v>9539</v>
      </c>
      <c r="J51" s="4">
        <v>305836</v>
      </c>
      <c r="K51" s="4">
        <v>1593494</v>
      </c>
      <c r="L51" s="5">
        <v>316147</v>
      </c>
      <c r="M51" s="5">
        <v>1571940.56329</v>
      </c>
      <c r="N51" s="5">
        <v>256407</v>
      </c>
      <c r="O51" s="5">
        <v>1888031.85696</v>
      </c>
      <c r="P51" s="5">
        <v>0</v>
      </c>
      <c r="Q51" s="5">
        <v>0</v>
      </c>
      <c r="R51" s="5">
        <v>950</v>
      </c>
      <c r="S51" s="5">
        <v>2962.2</v>
      </c>
      <c r="T51" s="5">
        <v>118876</v>
      </c>
      <c r="U51" s="5">
        <v>308600.40576999867</v>
      </c>
      <c r="V51" s="5">
        <v>65155</v>
      </c>
      <c r="W51" s="5">
        <v>217430.86775999991</v>
      </c>
      <c r="X51" s="5">
        <v>0</v>
      </c>
      <c r="Y51" s="5">
        <v>0</v>
      </c>
      <c r="Z51" s="5">
        <v>548924</v>
      </c>
      <c r="AA51" s="5">
        <v>3483217.9990000646</v>
      </c>
      <c r="AB51" s="5">
        <v>0</v>
      </c>
      <c r="AC51" s="5">
        <v>0</v>
      </c>
    </row>
    <row r="52" spans="1:29" x14ac:dyDescent="0.25">
      <c r="B52" s="42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263</v>
      </c>
      <c r="J52" s="4">
        <v>0</v>
      </c>
      <c r="K52" s="4">
        <v>101501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15977</v>
      </c>
      <c r="U52" s="5">
        <v>59502.974320000001</v>
      </c>
      <c r="V52" s="5">
        <v>18141</v>
      </c>
      <c r="W52" s="5">
        <v>64003.679399999412</v>
      </c>
      <c r="X52" s="5">
        <v>0</v>
      </c>
      <c r="Y52" s="5">
        <v>0</v>
      </c>
      <c r="Z52" s="5">
        <v>18690</v>
      </c>
      <c r="AA52" s="5">
        <v>123586.55</v>
      </c>
      <c r="AB52" s="5">
        <v>0</v>
      </c>
      <c r="AC52" s="5">
        <v>0</v>
      </c>
    </row>
    <row r="53" spans="1:29" x14ac:dyDescent="0.25">
      <c r="B53" s="42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23619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906</v>
      </c>
      <c r="U53" s="5">
        <v>4110.4082799999996</v>
      </c>
      <c r="V53" s="5">
        <v>150</v>
      </c>
      <c r="W53" s="5">
        <v>314.01416999999998</v>
      </c>
      <c r="X53" s="5">
        <v>0</v>
      </c>
      <c r="Y53" s="5">
        <v>0</v>
      </c>
      <c r="Z53" s="5">
        <v>1413</v>
      </c>
      <c r="AA53" s="5">
        <v>8553.7999999999993</v>
      </c>
      <c r="AB53" s="5">
        <v>0</v>
      </c>
      <c r="AC53" s="5">
        <v>0</v>
      </c>
    </row>
    <row r="54" spans="1:29" x14ac:dyDescent="0.25">
      <c r="B54" s="42">
        <v>42</v>
      </c>
      <c r="C54" s="3" t="s">
        <v>71</v>
      </c>
      <c r="D54" s="34">
        <v>53</v>
      </c>
      <c r="E54" s="4">
        <v>25</v>
      </c>
      <c r="F54" s="4">
        <v>0</v>
      </c>
      <c r="G54" s="4">
        <v>0</v>
      </c>
      <c r="H54" s="4">
        <v>0</v>
      </c>
      <c r="I54" s="4">
        <v>6279</v>
      </c>
      <c r="J54" s="4">
        <v>987898</v>
      </c>
      <c r="K54" s="4">
        <v>999372</v>
      </c>
      <c r="L54" s="5">
        <v>1321647</v>
      </c>
      <c r="M54" s="5">
        <v>6045566.429829997</v>
      </c>
      <c r="N54" s="5">
        <v>3803808</v>
      </c>
      <c r="O54" s="5">
        <v>14097565.780780045</v>
      </c>
      <c r="P54" s="5">
        <v>0</v>
      </c>
      <c r="Q54" s="5">
        <v>0</v>
      </c>
      <c r="R54" s="5">
        <v>2169</v>
      </c>
      <c r="S54" s="5">
        <v>18457.844249999998</v>
      </c>
      <c r="T54" s="5">
        <v>284409</v>
      </c>
      <c r="U54" s="5">
        <v>1757296.87595</v>
      </c>
      <c r="V54" s="5">
        <v>0</v>
      </c>
      <c r="W54" s="5">
        <v>0</v>
      </c>
      <c r="X54" s="5">
        <v>0</v>
      </c>
      <c r="Y54" s="5">
        <v>0</v>
      </c>
      <c r="Z54" s="5">
        <v>214914</v>
      </c>
      <c r="AA54" s="5">
        <v>1408158.1763899999</v>
      </c>
      <c r="AB54" s="5">
        <v>0</v>
      </c>
      <c r="AC54" s="5">
        <v>0</v>
      </c>
    </row>
    <row r="55" spans="1:29" x14ac:dyDescent="0.25">
      <c r="B55" s="42">
        <v>43</v>
      </c>
      <c r="C55" s="3" t="s">
        <v>72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2097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1140</v>
      </c>
      <c r="U55" s="5">
        <v>4024.3739999999998</v>
      </c>
      <c r="V55" s="5">
        <v>140</v>
      </c>
      <c r="W55" s="5">
        <v>605.55700000000002</v>
      </c>
      <c r="X55" s="5">
        <v>0</v>
      </c>
      <c r="Y55" s="5">
        <v>0</v>
      </c>
      <c r="Z55" s="5">
        <v>246</v>
      </c>
      <c r="AA55" s="5">
        <v>1423.2</v>
      </c>
      <c r="AB55" s="5">
        <v>0</v>
      </c>
      <c r="AC55" s="5">
        <v>0</v>
      </c>
    </row>
    <row r="56" spans="1:29" x14ac:dyDescent="0.25">
      <c r="B56" s="42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416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217</v>
      </c>
      <c r="U56" s="5">
        <v>851.95111999999995</v>
      </c>
      <c r="V56" s="5">
        <v>99</v>
      </c>
      <c r="W56" s="5">
        <v>1343.1289099999999</v>
      </c>
      <c r="X56" s="5">
        <v>0</v>
      </c>
      <c r="Y56" s="5">
        <v>0</v>
      </c>
      <c r="Z56" s="5">
        <v>67</v>
      </c>
      <c r="AA56" s="5">
        <v>427.5</v>
      </c>
      <c r="AB56" s="5">
        <v>0</v>
      </c>
      <c r="AC56" s="5">
        <v>0</v>
      </c>
    </row>
    <row r="57" spans="1:29" x14ac:dyDescent="0.25">
      <c r="A57" s="11" t="s">
        <v>74</v>
      </c>
      <c r="B57" s="42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83</v>
      </c>
      <c r="J57" s="4">
        <v>793363</v>
      </c>
      <c r="K57" s="4">
        <v>878621</v>
      </c>
      <c r="L57" s="5">
        <v>99721</v>
      </c>
      <c r="M57" s="5">
        <v>150819.9008</v>
      </c>
      <c r="N57" s="5">
        <v>313174</v>
      </c>
      <c r="O57" s="5">
        <v>381951.65953999996</v>
      </c>
      <c r="P57" s="5">
        <v>0</v>
      </c>
      <c r="Q57" s="5">
        <v>0</v>
      </c>
      <c r="R57" s="5">
        <v>1405</v>
      </c>
      <c r="S57" s="5">
        <v>4882.3218900000002</v>
      </c>
      <c r="T57" s="5">
        <v>8178</v>
      </c>
      <c r="U57" s="5">
        <v>27097.266789999998</v>
      </c>
      <c r="V57" s="5">
        <v>10916</v>
      </c>
      <c r="W57" s="5">
        <v>58728.673410000003</v>
      </c>
      <c r="X57" s="5">
        <v>0</v>
      </c>
      <c r="Y57" s="5">
        <v>0</v>
      </c>
      <c r="Z57" s="5">
        <v>22609</v>
      </c>
      <c r="AA57" s="5">
        <v>139365.60192000002</v>
      </c>
      <c r="AB57" s="5">
        <v>0</v>
      </c>
      <c r="AC57" s="5">
        <v>0</v>
      </c>
    </row>
    <row r="58" spans="1:29" x14ac:dyDescent="0.25">
      <c r="B58" s="42">
        <v>46</v>
      </c>
      <c r="C58" s="10" t="s">
        <v>76</v>
      </c>
      <c r="D58" s="4">
        <v>89</v>
      </c>
      <c r="E58" s="4">
        <v>32</v>
      </c>
      <c r="F58" s="4">
        <v>0</v>
      </c>
      <c r="G58" s="4">
        <v>0</v>
      </c>
      <c r="H58" s="4">
        <v>0</v>
      </c>
      <c r="I58" s="4">
        <v>0</v>
      </c>
      <c r="J58" s="4">
        <v>570688</v>
      </c>
      <c r="K58" s="4">
        <v>793642</v>
      </c>
      <c r="L58" s="5">
        <v>628784</v>
      </c>
      <c r="M58" s="5">
        <v>2588010.3070899723</v>
      </c>
      <c r="N58" s="5">
        <v>870862</v>
      </c>
      <c r="O58" s="5">
        <v>4682990.9732397711</v>
      </c>
      <c r="P58" s="5">
        <v>0</v>
      </c>
      <c r="Q58" s="5">
        <v>0</v>
      </c>
      <c r="R58" s="5">
        <v>858</v>
      </c>
      <c r="S58" s="5">
        <v>6343.0375000000004</v>
      </c>
      <c r="T58" s="5">
        <v>152639</v>
      </c>
      <c r="U58" s="5">
        <v>706824.60916999704</v>
      </c>
      <c r="V58" s="5">
        <v>111195</v>
      </c>
      <c r="W58" s="5">
        <v>488402.23600997531</v>
      </c>
      <c r="X58" s="5">
        <v>13</v>
      </c>
      <c r="Y58" s="5">
        <v>344.91800000000001</v>
      </c>
      <c r="Z58" s="5">
        <v>312054</v>
      </c>
      <c r="AA58" s="5">
        <v>1915778.6407300001</v>
      </c>
      <c r="AB58" s="5">
        <v>0</v>
      </c>
      <c r="AC58" s="5">
        <v>0</v>
      </c>
    </row>
    <row r="59" spans="1:29" x14ac:dyDescent="0.25">
      <c r="B59" s="42">
        <v>47</v>
      </c>
      <c r="C59" s="1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1098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1185</v>
      </c>
      <c r="U59" s="5">
        <v>4059.2157199999988</v>
      </c>
      <c r="V59" s="5">
        <v>588</v>
      </c>
      <c r="W59" s="5">
        <v>2205.2441700000018</v>
      </c>
      <c r="X59" s="5">
        <v>0</v>
      </c>
      <c r="Y59" s="5">
        <v>0</v>
      </c>
      <c r="Z59" s="5">
        <v>219</v>
      </c>
      <c r="AA59" s="5">
        <v>1880.7</v>
      </c>
      <c r="AB59" s="5">
        <v>0</v>
      </c>
      <c r="AC59" s="5">
        <v>0</v>
      </c>
    </row>
    <row r="60" spans="1:29" x14ac:dyDescent="0.25">
      <c r="B60" s="9" t="s">
        <v>78</v>
      </c>
      <c r="C60" s="1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6" customFormat="1" x14ac:dyDescent="0.25">
      <c r="A61" s="35"/>
      <c r="B61" s="43">
        <v>48</v>
      </c>
      <c r="C61" s="12" t="s">
        <v>79</v>
      </c>
      <c r="D61" s="13">
        <v>0</v>
      </c>
      <c r="E61" s="13">
        <v>0</v>
      </c>
      <c r="F61" s="13">
        <v>0</v>
      </c>
      <c r="G61" s="13">
        <v>165075</v>
      </c>
      <c r="H61" s="13">
        <v>0</v>
      </c>
      <c r="I61" s="13">
        <v>1047123</v>
      </c>
      <c r="J61" s="13">
        <v>0</v>
      </c>
      <c r="K61" s="13">
        <v>12481288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3538610</v>
      </c>
      <c r="U61" s="14">
        <v>148777.49088</v>
      </c>
      <c r="V61" s="14">
        <v>24115</v>
      </c>
      <c r="W61" s="14">
        <v>34439.609360000002</v>
      </c>
      <c r="X61" s="14">
        <v>0</v>
      </c>
      <c r="Y61" s="14">
        <v>0</v>
      </c>
      <c r="Z61" s="14">
        <v>577302</v>
      </c>
      <c r="AA61" s="14">
        <v>2089363.817</v>
      </c>
      <c r="AB61" s="14">
        <v>0</v>
      </c>
      <c r="AC61" s="14">
        <v>0</v>
      </c>
    </row>
    <row r="62" spans="1:29" s="36" customFormat="1" x14ac:dyDescent="0.25">
      <c r="A62" s="35"/>
      <c r="B62" s="43">
        <v>49</v>
      </c>
      <c r="C62" s="12" t="s">
        <v>80</v>
      </c>
      <c r="D62" s="13">
        <v>0</v>
      </c>
      <c r="E62" s="13">
        <v>0</v>
      </c>
      <c r="F62" s="13">
        <v>0</v>
      </c>
      <c r="G62" s="13">
        <v>477754</v>
      </c>
      <c r="H62" s="13">
        <v>0</v>
      </c>
      <c r="I62" s="13">
        <v>15302</v>
      </c>
      <c r="J62" s="13">
        <v>0</v>
      </c>
      <c r="K62" s="13">
        <v>11740963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88479</v>
      </c>
      <c r="U62" s="14">
        <v>204459.50017000004</v>
      </c>
      <c r="V62" s="14">
        <v>955</v>
      </c>
      <c r="W62" s="14">
        <v>1991.0244499999999</v>
      </c>
      <c r="X62" s="14">
        <v>0</v>
      </c>
      <c r="Y62" s="14">
        <v>0</v>
      </c>
      <c r="Z62" s="14">
        <v>1665928</v>
      </c>
      <c r="AA62" s="14">
        <v>5970023.4970000004</v>
      </c>
      <c r="AB62" s="14">
        <v>0</v>
      </c>
      <c r="AC62" s="14">
        <v>0</v>
      </c>
    </row>
    <row r="63" spans="1:29" s="36" customFormat="1" x14ac:dyDescent="0.25">
      <c r="A63" s="35"/>
      <c r="B63" s="43">
        <v>50</v>
      </c>
      <c r="C63" s="12" t="s">
        <v>81</v>
      </c>
      <c r="D63" s="13">
        <v>0</v>
      </c>
      <c r="E63" s="13">
        <v>0</v>
      </c>
      <c r="F63" s="13">
        <v>0</v>
      </c>
      <c r="G63" s="13">
        <v>183895</v>
      </c>
      <c r="H63" s="13">
        <v>0</v>
      </c>
      <c r="I63" s="13">
        <v>3428481</v>
      </c>
      <c r="J63" s="13">
        <v>0</v>
      </c>
      <c r="K63" s="13">
        <v>35236747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63544</v>
      </c>
      <c r="W63" s="14">
        <v>98304.141959999994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s="36" customFormat="1" x14ac:dyDescent="0.25">
      <c r="A64" s="35"/>
      <c r="B64" s="43">
        <v>51</v>
      </c>
      <c r="C64" s="12" t="s">
        <v>82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93546</v>
      </c>
      <c r="J64" s="13">
        <v>0</v>
      </c>
      <c r="K64" s="13">
        <v>1541877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12632</v>
      </c>
      <c r="U64" s="14">
        <v>28496.62932</v>
      </c>
      <c r="V64" s="14">
        <v>13669</v>
      </c>
      <c r="W64" s="14">
        <v>18079.629390000002</v>
      </c>
      <c r="X64" s="14">
        <v>2406</v>
      </c>
      <c r="Y64" s="14">
        <v>1503.2768600000002</v>
      </c>
      <c r="Z64" s="14">
        <v>108148</v>
      </c>
      <c r="AA64" s="14">
        <v>505041.60200000001</v>
      </c>
      <c r="AB64" s="14">
        <v>0</v>
      </c>
      <c r="AC64" s="14">
        <v>0</v>
      </c>
    </row>
    <row r="65" spans="1:29" s="36" customFormat="1" x14ac:dyDescent="0.25">
      <c r="A65" s="35"/>
      <c r="B65" s="43">
        <v>52</v>
      </c>
      <c r="C65" s="12" t="s">
        <v>83</v>
      </c>
      <c r="D65" s="13">
        <v>0</v>
      </c>
      <c r="E65" s="13">
        <v>0</v>
      </c>
      <c r="F65" s="13">
        <v>0</v>
      </c>
      <c r="G65" s="13">
        <v>183465</v>
      </c>
      <c r="H65" s="13">
        <v>0</v>
      </c>
      <c r="I65" s="13">
        <v>0</v>
      </c>
      <c r="J65" s="13">
        <v>0</v>
      </c>
      <c r="K65" s="13">
        <v>4011509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20303</v>
      </c>
      <c r="U65" s="14">
        <v>33729.788229999998</v>
      </c>
      <c r="V65" s="14">
        <v>16346</v>
      </c>
      <c r="W65" s="14">
        <v>48213.07129</v>
      </c>
      <c r="X65" s="14">
        <v>0</v>
      </c>
      <c r="Y65" s="14">
        <v>0</v>
      </c>
      <c r="Z65" s="14">
        <v>493333</v>
      </c>
      <c r="AA65" s="14">
        <v>1448128</v>
      </c>
      <c r="AB65" s="14">
        <v>0</v>
      </c>
      <c r="AC65" s="14">
        <v>0</v>
      </c>
    </row>
    <row r="66" spans="1:29" x14ac:dyDescent="0.25">
      <c r="B66" s="9" t="s">
        <v>84</v>
      </c>
      <c r="C66" s="10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5">
      <c r="B67" s="42">
        <v>53</v>
      </c>
      <c r="C67" s="3" t="s">
        <v>85</v>
      </c>
      <c r="D67" s="4">
        <v>792</v>
      </c>
      <c r="E67" s="4">
        <v>6</v>
      </c>
      <c r="F67" s="4">
        <v>0</v>
      </c>
      <c r="G67" s="4">
        <v>1000</v>
      </c>
      <c r="H67" s="4">
        <v>0</v>
      </c>
      <c r="I67" s="4">
        <v>178824</v>
      </c>
      <c r="J67" s="4">
        <v>1096879</v>
      </c>
      <c r="K67" s="4">
        <v>11263976</v>
      </c>
      <c r="L67" s="5">
        <v>779222</v>
      </c>
      <c r="M67" s="5">
        <v>4287396.7175899921</v>
      </c>
      <c r="N67" s="5">
        <v>3998211</v>
      </c>
      <c r="O67" s="5">
        <v>8682497.7927299943</v>
      </c>
      <c r="P67" s="5">
        <v>277</v>
      </c>
      <c r="Q67" s="5">
        <v>179.37299999999999</v>
      </c>
      <c r="R67" s="5">
        <v>2501</v>
      </c>
      <c r="S67" s="5">
        <v>15606.3</v>
      </c>
      <c r="T67" s="5">
        <v>174573</v>
      </c>
      <c r="U67" s="5">
        <v>518546.98005000001</v>
      </c>
      <c r="V67" s="5">
        <v>182638</v>
      </c>
      <c r="W67" s="5">
        <v>954712.68851000001</v>
      </c>
      <c r="X67" s="5">
        <v>52</v>
      </c>
      <c r="Y67" s="5">
        <v>827.74300000000005</v>
      </c>
      <c r="Z67" s="5">
        <v>797145</v>
      </c>
      <c r="AA67" s="5">
        <v>5105241.9000000004</v>
      </c>
      <c r="AB67" s="5">
        <v>0</v>
      </c>
      <c r="AC67" s="5">
        <v>0</v>
      </c>
    </row>
    <row r="68" spans="1:29" x14ac:dyDescent="0.25">
      <c r="B68" s="42">
        <v>54</v>
      </c>
      <c r="C68" s="3" t="s">
        <v>86</v>
      </c>
      <c r="D68" s="4">
        <v>216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239133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18499</v>
      </c>
      <c r="U68" s="5">
        <v>62129.099390000003</v>
      </c>
      <c r="V68" s="5">
        <v>1755</v>
      </c>
      <c r="W68" s="5">
        <v>14117.429109999999</v>
      </c>
      <c r="X68" s="5">
        <v>0</v>
      </c>
      <c r="Y68" s="5">
        <v>0</v>
      </c>
      <c r="Z68" s="5">
        <v>100610</v>
      </c>
      <c r="AA68" s="5">
        <v>660955.89399999997</v>
      </c>
      <c r="AB68" s="5">
        <v>0</v>
      </c>
      <c r="AC68" s="5">
        <v>0</v>
      </c>
    </row>
    <row r="69" spans="1:29" x14ac:dyDescent="0.25">
      <c r="B69" s="42">
        <v>55</v>
      </c>
      <c r="C69" s="3" t="s">
        <v>87</v>
      </c>
      <c r="D69" s="4">
        <v>398</v>
      </c>
      <c r="E69" s="4">
        <v>4</v>
      </c>
      <c r="F69" s="4">
        <v>2918</v>
      </c>
      <c r="G69" s="4">
        <v>368</v>
      </c>
      <c r="H69" s="4">
        <v>0</v>
      </c>
      <c r="I69" s="4">
        <v>51045</v>
      </c>
      <c r="J69" s="4">
        <v>27753</v>
      </c>
      <c r="K69" s="4">
        <v>1075559</v>
      </c>
      <c r="L69" s="5">
        <v>200184</v>
      </c>
      <c r="M69" s="5">
        <v>415193.77198000002</v>
      </c>
      <c r="N69" s="5">
        <v>15552</v>
      </c>
      <c r="O69" s="5">
        <v>218672.32873000001</v>
      </c>
      <c r="P69" s="5">
        <v>0</v>
      </c>
      <c r="Q69" s="5">
        <v>0</v>
      </c>
      <c r="R69" s="5">
        <v>437</v>
      </c>
      <c r="S69" s="5">
        <v>2369.1999999999998</v>
      </c>
      <c r="T69" s="5">
        <v>66148</v>
      </c>
      <c r="U69" s="5">
        <v>202872.30693000002</v>
      </c>
      <c r="V69" s="5">
        <v>19916</v>
      </c>
      <c r="W69" s="5">
        <v>136169.47881</v>
      </c>
      <c r="X69" s="5">
        <v>0</v>
      </c>
      <c r="Y69" s="5">
        <v>0</v>
      </c>
      <c r="Z69" s="5">
        <v>1541351</v>
      </c>
      <c r="AA69" s="5">
        <v>4734760.8969999999</v>
      </c>
      <c r="AB69" s="5">
        <v>0</v>
      </c>
      <c r="AC69" s="5">
        <v>0</v>
      </c>
    </row>
    <row r="70" spans="1:29" x14ac:dyDescent="0.25">
      <c r="B70" s="42">
        <v>56</v>
      </c>
      <c r="C70" s="3" t="s">
        <v>88</v>
      </c>
      <c r="D70" s="4">
        <v>720</v>
      </c>
      <c r="E70" s="4">
        <v>2</v>
      </c>
      <c r="F70" s="4">
        <v>0</v>
      </c>
      <c r="G70" s="4">
        <v>2737</v>
      </c>
      <c r="H70" s="4">
        <v>0</v>
      </c>
      <c r="I70" s="4">
        <v>7567</v>
      </c>
      <c r="J70" s="4">
        <v>8038</v>
      </c>
      <c r="K70" s="4">
        <v>5358065</v>
      </c>
      <c r="L70" s="5">
        <v>6440</v>
      </c>
      <c r="M70" s="5">
        <v>17498.843199999999</v>
      </c>
      <c r="N70" s="5">
        <v>66110</v>
      </c>
      <c r="O70" s="5">
        <v>87024.830599999768</v>
      </c>
      <c r="P70" s="5">
        <v>0</v>
      </c>
      <c r="Q70" s="5">
        <v>0</v>
      </c>
      <c r="R70" s="5">
        <v>31</v>
      </c>
      <c r="S70" s="5">
        <v>113.5</v>
      </c>
      <c r="T70" s="5">
        <v>112037</v>
      </c>
      <c r="U70" s="5">
        <v>257009.61023000011</v>
      </c>
      <c r="V70" s="5">
        <v>8453</v>
      </c>
      <c r="W70" s="5">
        <v>36749.798510000001</v>
      </c>
      <c r="X70" s="5">
        <v>0</v>
      </c>
      <c r="Y70" s="5">
        <v>0</v>
      </c>
      <c r="Z70" s="5">
        <v>617890</v>
      </c>
      <c r="AA70" s="5">
        <v>3207871.56</v>
      </c>
      <c r="AB70" s="5">
        <v>0</v>
      </c>
      <c r="AC70" s="5">
        <v>0</v>
      </c>
    </row>
    <row r="71" spans="1:29" x14ac:dyDescent="0.25">
      <c r="B71" s="42">
        <v>57</v>
      </c>
      <c r="C71" s="3" t="s">
        <v>89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963902</v>
      </c>
      <c r="J71" s="4">
        <v>0</v>
      </c>
      <c r="K71" s="4">
        <v>4309536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36697</v>
      </c>
      <c r="U71" s="5">
        <v>93475.817540000004</v>
      </c>
      <c r="V71" s="5">
        <v>7962</v>
      </c>
      <c r="W71" s="5">
        <v>26586.19325</v>
      </c>
      <c r="X71" s="5">
        <v>0</v>
      </c>
      <c r="Y71" s="5">
        <v>0</v>
      </c>
      <c r="Z71" s="5">
        <v>375121</v>
      </c>
      <c r="AA71" s="5">
        <v>1722478.88656</v>
      </c>
      <c r="AB71" s="5">
        <v>0</v>
      </c>
      <c r="AC71" s="5">
        <v>0</v>
      </c>
    </row>
    <row r="72" spans="1:29" x14ac:dyDescent="0.25">
      <c r="B72" s="42">
        <v>58</v>
      </c>
      <c r="C72" s="3" t="s">
        <v>90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26117</v>
      </c>
      <c r="J72" s="4">
        <v>425924</v>
      </c>
      <c r="K72" s="4">
        <v>6410354</v>
      </c>
      <c r="L72" s="5">
        <v>5725527</v>
      </c>
      <c r="M72" s="5">
        <v>2699606.7801300003</v>
      </c>
      <c r="N72" s="5">
        <v>1311761</v>
      </c>
      <c r="O72" s="5">
        <v>1350230.3578299999</v>
      </c>
      <c r="P72" s="5">
        <v>0</v>
      </c>
      <c r="Q72" s="5">
        <v>0</v>
      </c>
      <c r="R72" s="5">
        <v>0</v>
      </c>
      <c r="S72" s="5">
        <v>0</v>
      </c>
      <c r="T72" s="5">
        <v>11843</v>
      </c>
      <c r="U72" s="5">
        <v>26140.845390000002</v>
      </c>
      <c r="V72" s="5">
        <v>51100</v>
      </c>
      <c r="W72" s="5">
        <v>185504.90354</v>
      </c>
      <c r="X72" s="5">
        <v>0</v>
      </c>
      <c r="Y72" s="5">
        <v>0</v>
      </c>
      <c r="Z72" s="5">
        <v>63682</v>
      </c>
      <c r="AA72" s="5">
        <v>311980.40000000002</v>
      </c>
      <c r="AB72" s="5">
        <v>2184</v>
      </c>
      <c r="AC72" s="5">
        <v>8512.34</v>
      </c>
    </row>
    <row r="73" spans="1:29" x14ac:dyDescent="0.25">
      <c r="B73" s="42">
        <v>59</v>
      </c>
      <c r="C73" s="3" t="s">
        <v>91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39355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1670</v>
      </c>
      <c r="U73" s="5">
        <v>4615.2536200000004</v>
      </c>
      <c r="V73" s="5">
        <v>443</v>
      </c>
      <c r="W73" s="5">
        <v>1243.2494999999999</v>
      </c>
      <c r="X73" s="5">
        <v>0</v>
      </c>
      <c r="Y73" s="5">
        <v>0</v>
      </c>
      <c r="Z73" s="5">
        <v>11532</v>
      </c>
      <c r="AA73" s="5">
        <v>63092.91</v>
      </c>
      <c r="AB73" s="5">
        <v>0</v>
      </c>
      <c r="AC73" s="5">
        <v>0</v>
      </c>
    </row>
    <row r="74" spans="1:29" x14ac:dyDescent="0.25">
      <c r="B74" s="42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54272</v>
      </c>
      <c r="K74" s="4">
        <v>1044878</v>
      </c>
      <c r="L74" s="5">
        <v>7491</v>
      </c>
      <c r="M74" s="5">
        <v>27916.861000000001</v>
      </c>
      <c r="N74" s="5">
        <v>24425</v>
      </c>
      <c r="O74" s="5">
        <v>57163.896000000001</v>
      </c>
      <c r="P74" s="5">
        <v>0</v>
      </c>
      <c r="Q74" s="5">
        <v>0</v>
      </c>
      <c r="R74" s="5">
        <v>0</v>
      </c>
      <c r="S74" s="5">
        <v>0</v>
      </c>
      <c r="T74" s="5">
        <v>3991</v>
      </c>
      <c r="U74" s="5">
        <v>8295.2340000000004</v>
      </c>
      <c r="V74" s="5">
        <v>656</v>
      </c>
      <c r="W74" s="5">
        <v>2780.2510000000002</v>
      </c>
      <c r="X74" s="5">
        <v>0</v>
      </c>
      <c r="Y74" s="5">
        <v>0</v>
      </c>
      <c r="Z74" s="5">
        <v>34512</v>
      </c>
      <c r="AA74" s="5">
        <v>147198.24799999999</v>
      </c>
      <c r="AB74" s="5">
        <v>0</v>
      </c>
      <c r="AC74" s="5">
        <v>0</v>
      </c>
    </row>
    <row r="75" spans="1:29" x14ac:dyDescent="0.25">
      <c r="B75" s="42">
        <v>61</v>
      </c>
      <c r="C75" s="3" t="s">
        <v>93</v>
      </c>
      <c r="D75" s="4">
        <v>603</v>
      </c>
      <c r="E75" s="4">
        <v>3</v>
      </c>
      <c r="F75" s="4">
        <v>0</v>
      </c>
      <c r="G75" s="4">
        <v>0</v>
      </c>
      <c r="H75" s="4">
        <v>0</v>
      </c>
      <c r="I75" s="4">
        <v>555445</v>
      </c>
      <c r="J75" s="4">
        <v>0</v>
      </c>
      <c r="K75" s="4">
        <v>6825360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123233</v>
      </c>
      <c r="U75" s="5">
        <v>296246.75303000002</v>
      </c>
      <c r="V75" s="5">
        <v>19312</v>
      </c>
      <c r="W75" s="5">
        <v>110687.68842000001</v>
      </c>
      <c r="X75" s="5">
        <v>0</v>
      </c>
      <c r="Y75" s="5">
        <v>0</v>
      </c>
      <c r="Z75" s="5">
        <v>2702818</v>
      </c>
      <c r="AA75" s="5">
        <v>12837555.48593</v>
      </c>
      <c r="AB75" s="5">
        <v>0</v>
      </c>
      <c r="AC75" s="5">
        <v>0</v>
      </c>
    </row>
    <row r="76" spans="1:29" x14ac:dyDescent="0.25">
      <c r="B76" s="42">
        <v>62</v>
      </c>
      <c r="C76" s="3" t="s">
        <v>94</v>
      </c>
      <c r="D76" s="4">
        <v>189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376454</v>
      </c>
      <c r="K76" s="4">
        <v>125065</v>
      </c>
      <c r="L76" s="5">
        <v>55396</v>
      </c>
      <c r="M76" s="5">
        <v>232641.155</v>
      </c>
      <c r="N76" s="5">
        <v>151007</v>
      </c>
      <c r="O76" s="5">
        <v>582700.24360000005</v>
      </c>
      <c r="P76" s="5">
        <v>0</v>
      </c>
      <c r="Q76" s="5">
        <v>0</v>
      </c>
      <c r="R76" s="5">
        <v>2302</v>
      </c>
      <c r="S76" s="5">
        <v>11092</v>
      </c>
      <c r="T76" s="5">
        <v>7818</v>
      </c>
      <c r="U76" s="5">
        <v>18472.038430000001</v>
      </c>
      <c r="V76" s="5">
        <v>1075</v>
      </c>
      <c r="W76" s="5">
        <v>6344.8004600000004</v>
      </c>
      <c r="X76" s="5">
        <v>0</v>
      </c>
      <c r="Y76" s="5">
        <v>0</v>
      </c>
      <c r="Z76" s="5">
        <v>33096</v>
      </c>
      <c r="AA76" s="5">
        <v>170867.4</v>
      </c>
      <c r="AB76" s="5">
        <v>0</v>
      </c>
      <c r="AC76" s="5">
        <v>0</v>
      </c>
    </row>
    <row r="77" spans="1:29" x14ac:dyDescent="0.25">
      <c r="B77" s="42">
        <v>63</v>
      </c>
      <c r="C77" s="3" t="s">
        <v>95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42754</v>
      </c>
      <c r="J77" s="4">
        <v>351887</v>
      </c>
      <c r="K77" s="4">
        <v>1260435</v>
      </c>
      <c r="L77" s="5">
        <v>21426</v>
      </c>
      <c r="M77" s="5">
        <v>38497.001680000001</v>
      </c>
      <c r="N77" s="5">
        <v>90566</v>
      </c>
      <c r="O77" s="5">
        <v>104892.70775999999</v>
      </c>
      <c r="P77" s="5">
        <v>3753750</v>
      </c>
      <c r="Q77" s="5">
        <v>1023221.36658</v>
      </c>
      <c r="R77" s="5">
        <v>722</v>
      </c>
      <c r="S77" s="5">
        <v>1038.7</v>
      </c>
      <c r="T77" s="5">
        <v>16156</v>
      </c>
      <c r="U77" s="5">
        <v>48792.272349999934</v>
      </c>
      <c r="V77" s="5">
        <v>4774</v>
      </c>
      <c r="W77" s="5">
        <v>26922.122880000035</v>
      </c>
      <c r="X77" s="5">
        <v>0</v>
      </c>
      <c r="Y77" s="5">
        <v>0</v>
      </c>
      <c r="Z77" s="5">
        <v>133872</v>
      </c>
      <c r="AA77" s="5">
        <v>927299.65099999995</v>
      </c>
      <c r="AB77" s="5">
        <v>0</v>
      </c>
      <c r="AC77" s="5">
        <v>0</v>
      </c>
    </row>
    <row r="78" spans="1:29" s="38" customFormat="1" x14ac:dyDescent="0.25">
      <c r="A78" s="37"/>
      <c r="B78" s="44" t="s">
        <v>96</v>
      </c>
      <c r="C78" s="10"/>
      <c r="D78" s="15">
        <f t="shared" ref="D78:AC78" si="0">SUM(D11:D77)</f>
        <v>136337</v>
      </c>
      <c r="E78" s="15">
        <f t="shared" si="0"/>
        <v>73475</v>
      </c>
      <c r="F78" s="15">
        <f t="shared" si="0"/>
        <v>10027614</v>
      </c>
      <c r="G78" s="15">
        <f t="shared" si="0"/>
        <v>1328246</v>
      </c>
      <c r="H78" s="15">
        <f t="shared" si="0"/>
        <v>5269442</v>
      </c>
      <c r="I78" s="15">
        <f t="shared" si="0"/>
        <v>803047590</v>
      </c>
      <c r="J78" s="15">
        <f t="shared" si="0"/>
        <v>122857894</v>
      </c>
      <c r="K78" s="15">
        <f t="shared" si="0"/>
        <v>1033310864</v>
      </c>
      <c r="L78" s="15">
        <f t="shared" si="0"/>
        <v>293733617</v>
      </c>
      <c r="M78" s="15">
        <f t="shared" si="0"/>
        <v>757403698.53959954</v>
      </c>
      <c r="N78" s="15">
        <f t="shared" si="0"/>
        <v>307698073</v>
      </c>
      <c r="O78" s="15">
        <f t="shared" si="0"/>
        <v>1323389557.3255782</v>
      </c>
      <c r="P78" s="15">
        <f t="shared" si="0"/>
        <v>3834990</v>
      </c>
      <c r="Q78" s="15">
        <f t="shared" si="0"/>
        <v>1063731.3754500002</v>
      </c>
      <c r="R78" s="15">
        <f t="shared" si="0"/>
        <v>652976</v>
      </c>
      <c r="S78" s="15">
        <f t="shared" si="0"/>
        <v>3721795.2163500004</v>
      </c>
      <c r="T78" s="15">
        <f t="shared" si="0"/>
        <v>74121309</v>
      </c>
      <c r="U78" s="15">
        <f t="shared" si="0"/>
        <v>221758106.69327983</v>
      </c>
      <c r="V78" s="15">
        <f t="shared" si="0"/>
        <v>27352284</v>
      </c>
      <c r="W78" s="15">
        <f t="shared" si="0"/>
        <v>155158430.61560979</v>
      </c>
      <c r="X78" s="15">
        <f t="shared" si="0"/>
        <v>82338</v>
      </c>
      <c r="Y78" s="15">
        <f t="shared" si="0"/>
        <v>2408071.4158700006</v>
      </c>
      <c r="Z78" s="15">
        <f t="shared" si="0"/>
        <v>405201006</v>
      </c>
      <c r="AA78" s="15">
        <f t="shared" si="0"/>
        <v>2193082921.7017107</v>
      </c>
      <c r="AB78" s="15">
        <f t="shared" si="0"/>
        <v>6086</v>
      </c>
      <c r="AC78" s="15">
        <f t="shared" si="0"/>
        <v>11595.12255</v>
      </c>
    </row>
    <row r="79" spans="1:29" s="38" customFormat="1" x14ac:dyDescent="0.25">
      <c r="A79" s="37"/>
      <c r="B79" s="16"/>
      <c r="C79" s="1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spans="1:29" x14ac:dyDescent="0.25">
      <c r="A80" s="39"/>
      <c r="B80" s="27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30" x14ac:dyDescent="0.25">
      <c r="A81" s="25"/>
      <c r="B81" s="45" t="s">
        <v>97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30" x14ac:dyDescent="0.25">
      <c r="A82" s="40"/>
      <c r="B82" s="45" t="s">
        <v>98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30" x14ac:dyDescent="0.25">
      <c r="A83" s="40"/>
      <c r="B83" s="45" t="s">
        <v>99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spans="1:30" s="41" customFormat="1" x14ac:dyDescent="0.25">
      <c r="A84" s="40"/>
      <c r="B84" s="45" t="s">
        <v>100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spans="1:30" s="41" customFormat="1" x14ac:dyDescent="0.25">
      <c r="A85" s="40"/>
      <c r="B85" s="45" t="s">
        <v>101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spans="1:30" s="41" customFormat="1" x14ac:dyDescent="0.25">
      <c r="A86" s="40"/>
      <c r="B86" s="45" t="s">
        <v>102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spans="1:30" s="41" customFormat="1" x14ac:dyDescent="0.25">
      <c r="A87" s="40"/>
      <c r="B87" s="45" t="s">
        <v>103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spans="1:30" s="41" customFormat="1" x14ac:dyDescent="0.25">
      <c r="A88" s="40"/>
      <c r="B88" s="45" t="s">
        <v>104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spans="1:30" s="41" customFormat="1" x14ac:dyDescent="0.25">
      <c r="A89" s="40"/>
      <c r="B89" s="45" t="s">
        <v>105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spans="1:30" s="41" customFormat="1" x14ac:dyDescent="0.25">
      <c r="A90" s="40"/>
      <c r="B90" s="45" t="s">
        <v>106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19"/>
    </row>
    <row r="91" spans="1:30" s="41" customFormat="1" x14ac:dyDescent="0.25">
      <c r="A91" s="40"/>
      <c r="B91" s="45" t="s">
        <v>107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spans="1:30" s="41" customFormat="1" x14ac:dyDescent="0.25">
      <c r="A92" s="40"/>
      <c r="B92" s="45" t="s">
        <v>108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19"/>
    </row>
    <row r="93" spans="1:30" s="41" customFormat="1" x14ac:dyDescent="0.25">
      <c r="A93" s="40"/>
      <c r="B93" s="45" t="s">
        <v>109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spans="1:30" s="41" customFormat="1" x14ac:dyDescent="0.25">
      <c r="A94" s="40"/>
      <c r="B94" s="45" t="s">
        <v>110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spans="1:30" s="41" customFormat="1" x14ac:dyDescent="0.25">
      <c r="A95" s="40"/>
      <c r="B95" s="45" t="s">
        <v>111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spans="1:30" s="41" customFormat="1" x14ac:dyDescent="0.25">
      <c r="A96" s="40"/>
      <c r="B96" s="45" t="s">
        <v>112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spans="1:31" s="41" customFormat="1" x14ac:dyDescent="0.25">
      <c r="A97" s="40"/>
      <c r="B97" s="45" t="s">
        <v>113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spans="1:31" s="41" customFormat="1" x14ac:dyDescent="0.25">
      <c r="A98" s="40"/>
      <c r="B98" s="45" t="s">
        <v>114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spans="1:31" s="41" customFormat="1" x14ac:dyDescent="0.25">
      <c r="A99" s="40"/>
      <c r="B99" s="45" t="s">
        <v>115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spans="1:31" s="41" customFormat="1" x14ac:dyDescent="0.25">
      <c r="A100" s="40"/>
      <c r="B100" s="45" t="s">
        <v>116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spans="1:31" s="41" customFormat="1" x14ac:dyDescent="0.25">
      <c r="A101" s="26"/>
      <c r="B101" s="45" t="s">
        <v>117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20"/>
      <c r="AE101" s="20"/>
    </row>
    <row r="102" spans="1:31" s="41" customFormat="1" x14ac:dyDescent="0.25">
      <c r="A102" s="40"/>
      <c r="B102" s="45" t="s">
        <v>118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spans="1:31" s="41" customFormat="1" x14ac:dyDescent="0.25">
      <c r="A103" s="40"/>
      <c r="B103" s="45" t="s">
        <v>119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spans="1:31" s="41" customFormat="1" x14ac:dyDescent="0.25">
      <c r="A104" s="40"/>
      <c r="B104" s="45" t="s">
        <v>120</v>
      </c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spans="1:31" s="41" customFormat="1" x14ac:dyDescent="0.25">
      <c r="A105" s="40"/>
      <c r="B105" s="45" t="s">
        <v>121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spans="1:31" s="41" customFormat="1" x14ac:dyDescent="0.25">
      <c r="A106" s="40"/>
      <c r="B106" s="45" t="s">
        <v>122</v>
      </c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spans="1:31" s="41" customFormat="1" x14ac:dyDescent="0.25">
      <c r="A107" s="40"/>
      <c r="B107" s="45" t="s">
        <v>123</v>
      </c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</sheetData>
  <mergeCells count="55">
    <mergeCell ref="N6:O6"/>
    <mergeCell ref="P6:Q6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I5:I7"/>
    <mergeCell ref="J5:J7"/>
    <mergeCell ref="K5:K7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X6:Y6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</mergeCells>
  <pageMargins left="0" right="0" top="0" bottom="0" header="0" footer="0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Manish</cp:lastModifiedBy>
  <cp:lastPrinted>2026-08-25T07:52:17Z</cp:lastPrinted>
  <dcterms:created xsi:type="dcterms:W3CDTF">2026-08-18T05:58:33Z</dcterms:created>
  <dcterms:modified xsi:type="dcterms:W3CDTF">2026-08-25T07:52:54Z</dcterms:modified>
</cp:coreProperties>
</file>